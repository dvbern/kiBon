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frederic.nell/IdeaProjects/kibon-app/ebegu-server/src/main/resources/reporting/"/>
    </mc:Choice>
  </mc:AlternateContent>
  <xr:revisionPtr revIDLastSave="0" documentId="13_ncr:1_{779A1829-8AC6-4B44-BE78-6C52D3E1A31A}" xr6:coauthVersionLast="47" xr6:coauthVersionMax="47" xr10:uidLastSave="{00000000-0000-0000-0000-000000000000}"/>
  <bookViews>
    <workbookView xWindow="0" yWindow="660" windowWidth="29040" windowHeight="17520" tabRatio="500" activeTab="1" xr2:uid="{00000000-000D-0000-FFFF-FFFF00000000}"/>
  </bookViews>
  <sheets>
    <sheet name="Data" sheetId="1" r:id="rId1"/>
    <sheet name="Versements par enfant" sheetId="2" r:id="rId2"/>
    <sheet name="Versements par commune" sheetId="3" r:id="rId3"/>
  </sheets>
  <definedNames>
    <definedName name="_xlnm._FilterDatabase" localSheetId="0" hidden="1">Data!$A$12:$Q$12</definedName>
    <definedName name="data">Data!$A$12:$S$13</definedName>
  </definedNames>
  <calcPr calcId="191029"/>
  <pivotCaches>
    <pivotCache cacheId="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3" i="1" l="1"/>
  <c r="U13" i="1"/>
  <c r="L13" i="1"/>
  <c r="K13" i="1"/>
  <c r="H13" i="1"/>
  <c r="T13" i="1"/>
</calcChain>
</file>

<file path=xl/sharedStrings.xml><?xml version="1.0" encoding="utf-8"?>
<sst xmlns="http://schemas.openxmlformats.org/spreadsheetml/2006/main" count="87" uniqueCount="67">
  <si>
    <t>{periodeParam}</t>
  </si>
  <si>
    <t>{gemeindeParam}</t>
  </si>
  <si>
    <t>Institution</t>
  </si>
  <si>
    <t>{institutionParam}</t>
  </si>
  <si>
    <t>{timestampParam}</t>
  </si>
  <si>
    <t>{zahlungslaufTitle}</t>
  </si>
  <si>
    <t>{faelligkeitsDatum}</t>
  </si>
  <si>
    <t>{gemeinde}</t>
  </si>
  <si>
    <t>{institution}</t>
  </si>
  <si>
    <t>{timestampZahlungslauf}</t>
  </si>
  <si>
    <t>{kindNachname}</t>
  </si>
  <si>
    <t>{kindVorname}</t>
  </si>
  <si>
    <t>{referenznummer}</t>
  </si>
  <si>
    <t>{zeitabschnittVon}</t>
  </si>
  <si>
    <t>{zeitabschnittBis}</t>
  </si>
  <si>
    <t>{bgPensum}</t>
  </si>
  <si>
    <t>{betrag}</t>
  </si>
  <si>
    <t>{korrektur}</t>
  </si>
  <si>
    <t>{ignorieren}</t>
  </si>
  <si>
    <t>{ibanEltern}</t>
  </si>
  <si>
    <t>{kontoEltern}</t>
  </si>
  <si>
    <t>{repeatRow}</t>
  </si>
  <si>
    <t>{kindNachname} {kindVorname}</t>
  </si>
  <si>
    <t>Filter</t>
  </si>
  <si>
    <t>{bisParam}</t>
  </si>
  <si>
    <t>{vonParam}</t>
  </si>
  <si>
    <t>Description cycle de paiement</t>
  </si>
  <si>
    <t>Date d'échéance</t>
  </si>
  <si>
    <t>Commune</t>
  </si>
  <si>
    <t>Date de création du cycle de paiement</t>
  </si>
  <si>
    <t>Nom de famille</t>
  </si>
  <si>
    <t>Prénom</t>
  </si>
  <si>
    <t>Nom de famille, Prénom</t>
  </si>
  <si>
    <t>N° de réf.</t>
  </si>
  <si>
    <t>Du</t>
  </si>
  <si>
    <t>Mois</t>
  </si>
  <si>
    <t>Année</t>
  </si>
  <si>
    <t>Au</t>
  </si>
  <si>
    <t>Taux de prise en charge subventionné</t>
  </si>
  <si>
    <t>Montant en francs</t>
  </si>
  <si>
    <t>Rectification</t>
  </si>
  <si>
    <t>Ne s’applique pas lors du cycle de paiement</t>
  </si>
  <si>
    <t>Numéro IBAN</t>
  </si>
  <si>
    <t>Titulaire du compte</t>
  </si>
  <si>
    <r>
      <t xml:space="preserve">Versement à la structure d’accueil : </t>
    </r>
    <r>
      <rPr>
        <sz val="11"/>
        <rFont val="Calibri"/>
        <family val="2"/>
      </rPr>
      <t xml:space="preserve">montant versé par la commune à la structure d’accueil. Le montant comporte des corrections qui ont été reprises dans le cadre du cycle de paiement à la structure d’accueil. Il est déduit des </t>
    </r>
    <r>
      <rPr>
        <b/>
        <sz val="11"/>
        <rFont val="Calibri"/>
        <family val="2"/>
      </rPr>
      <t>coûts com-plets dans la facture aux personnes requérantes.</t>
    </r>
  </si>
  <si>
    <r>
      <t xml:space="preserve">Décompte direct entre la commune et les personnes requé-rantes : </t>
    </r>
    <r>
      <rPr>
        <sz val="11"/>
        <rFont val="Calibri"/>
        <family val="2"/>
      </rPr>
      <t xml:space="preserve">montant corrigé par rapport au bon de garde effectif. Correspond à la différence entre le montant versé à la struc-ture d’accueil et le bon de garde en cours de </t>
    </r>
    <r>
      <rPr>
        <b/>
        <sz val="11"/>
        <rFont val="Calibri"/>
        <family val="2"/>
      </rPr>
      <t>validité. La commune verse ce montant corrigé directement aux per-sonnes requérantes, sans passer par kiBon.</t>
    </r>
  </si>
  <si>
    <r>
      <t xml:space="preserve">Bons de garde ayant donné lieu à une décision : </t>
    </r>
    <r>
      <rPr>
        <sz val="11"/>
        <rFont val="Calibri"/>
        <family val="2"/>
      </rPr>
      <t xml:space="preserve">montant du bon de garde par enfant et par mois selon la décision en cours de validité. Le montant inclut les corrections reprises dans le cycle de paiement avec la structure </t>
    </r>
    <r>
      <rPr>
        <b/>
        <sz val="11"/>
        <rFont val="Calibri"/>
        <family val="2"/>
      </rPr>
      <t>d’accueil ainsi que les versements non repris dans ce cadre qui ont été décomptés directement entre la commune et les personnes requérantes.</t>
    </r>
  </si>
  <si>
    <t>filtrage</t>
  </si>
  <si>
    <t xml:space="preserve">Bons de garde accordés </t>
  </si>
  <si>
    <r>
      <rPr>
        <b/>
        <sz val="11"/>
        <rFont val="Calibri"/>
        <family val="2"/>
      </rPr>
      <t>Versement à la structure d’accueil :</t>
    </r>
    <r>
      <rPr>
        <sz val="11"/>
        <rFont val="Calibri"/>
        <family val="2"/>
      </rPr>
      <t xml:space="preserve"> montant versé par la commune à la structure d’accueil. Le montant comporte des corrections qui ont été reprises dans le cadre du cycle de paiement à la structure d’accueil. Il est déduit des coûts com-plets dans la facture aux personnes requérantes.</t>
    </r>
  </si>
  <si>
    <r>
      <t>Décompte direct entre la commune et les personnes requé-rantes :</t>
    </r>
    <r>
      <rPr>
        <sz val="11"/>
        <rFont val="Calibri"/>
        <family val="2"/>
      </rPr>
      <t xml:space="preserve"> montant corrigé par rapport au bon de garde effectif. Correspond à la différence entre le montant versé à la struc-ture d’accueil et le bon de garde en cours de validité. La commune verse ce montant corrigé directement aux per-sonnes requérantes, sans passer par kiBon.</t>
    </r>
  </si>
  <si>
    <r>
      <rPr>
        <b/>
        <sz val="11"/>
        <rFont val="Calibri"/>
        <family val="2"/>
      </rPr>
      <t>Bons de garde ayant donné lieu à une décision :</t>
    </r>
    <r>
      <rPr>
        <sz val="11"/>
        <rFont val="Calibri"/>
        <family val="2"/>
      </rPr>
      <t xml:space="preserve"> montant du bon de garde par enfant et par mois selon la décision en cours de validité. Le montant inclut les corrections reprises dans le cycle de paiement avec la structure d’accueil ainsi que les versements non repris dans ce cadre qui ont été décomptés directement entre la commune et les personnes requérantes.</t>
    </r>
  </si>
  <si>
    <t>Vue d’ensemble des versements (par commune)</t>
  </si>
  <si>
    <t>Vue d’ensemble des versements (par enfant)</t>
  </si>
  <si>
    <t>Versement à (pour enfant tableau croisé dynamique)</t>
  </si>
  <si>
    <t>Versement à  (pour commune tableau croisé dynamique)</t>
  </si>
  <si>
    <t>Versements</t>
  </si>
  <si>
    <t>Paramètres</t>
  </si>
  <si>
    <t>Période</t>
  </si>
  <si>
    <t>Généré le</t>
  </si>
  <si>
    <t xml:space="preserve">A partir de </t>
  </si>
  <si>
    <t>Summe von Montant en francs</t>
  </si>
  <si>
    <t>Versement à la structure d’accueil</t>
  </si>
  <si>
    <t>Cellule complétée</t>
  </si>
  <si>
    <t>Étiquettes de colonnes</t>
  </si>
  <si>
    <t>#VALEUR!</t>
  </si>
  <si>
    <t>(Tous)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</si>
</sst>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numFmt numFmtId="165" formatCode="&quot;CHF &quot;#,##0.00"/>
  </numFmts>
  <fonts count="10" x14ac:knownFonts="1">
    <font>
      <sz val="11"/>
      <color rgb="FF000000"/>
      <name val="Calibri"/>
      <family val="2"/>
      <charset val="1"/>
    </font>
    <font>
      <sz val="11"/>
      <color rgb="FF9C6500"/>
      <name val="Calibri"/>
      <family val="2"/>
      <charset val="1"/>
    </font>
    <font>
      <b/>
      <sz val="11"/>
      <color rgb="FF000000"/>
      <name val="Calibri"/>
      <family val="2"/>
      <charset val="1"/>
    </font>
    <font>
      <b/>
      <sz val="16"/>
      <color rgb="FF000000"/>
      <name val="Calibri"/>
      <family val="2"/>
      <charset val="1"/>
    </font>
    <font>
      <sz val="11"/>
      <color rgb="FF000000"/>
      <name val="Calibri"/>
      <family val="2"/>
      <charset val="1"/>
    </font>
    <font>
      <b/>
      <sz val="16"/>
      <name val="Calibri"/>
      <family val="2"/>
    </font>
    <font>
      <sz val="11"/>
      <color rgb="FF000000"/>
      <name val="Calibri"/>
      <family val="2"/>
    </font>
    <font>
      <sz val="11"/>
      <name val="Calibri"/>
      <family val="2"/>
    </font>
    <font>
      <b/>
      <sz val="11"/>
      <name val="Calibri"/>
      <family val="2"/>
    </font>
    <font>
      <b/>
      <sz val="11"/>
      <color theme="1"/>
      <name val="Calibri"/>
      <family val="2"/>
      <charset val="1"/>
    </font>
  </fonts>
  <fills count="5">
    <fill>
      <patternFill patternType="none"/>
    </fill>
    <fill>
      <patternFill patternType="gray125"/>
    </fill>
    <fill>
      <patternFill patternType="solid">
        <fgColor rgb="FFFFEB9C"/>
        <bgColor rgb="FFFFFFCC"/>
      </patternFill>
    </fill>
    <fill>
      <patternFill patternType="solid">
        <fgColor rgb="FFC6D9F1"/>
        <bgColor rgb="FFC0C0C0"/>
      </patternFill>
    </fill>
    <fill>
      <patternFill patternType="solid">
        <fgColor rgb="FFF2F2F2"/>
        <bgColor rgb="FFFFFFCC"/>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9">
    <xf numFmtId="0" fontId="0" fillId="0" borderId="0"/>
    <xf numFmtId="0" fontId="1" fillId="2" borderId="0" applyBorder="0" applyProtection="0"/>
    <xf numFmtId="0" fontId="4" fillId="0" borderId="0" applyBorder="0" applyProtection="0">
      <alignment horizontal="left"/>
    </xf>
    <xf numFmtId="0" fontId="4" fillId="0" borderId="0" applyBorder="0" applyProtection="0"/>
    <xf numFmtId="0" fontId="4" fillId="0" borderId="0" applyBorder="0" applyProtection="0"/>
    <xf numFmtId="0" fontId="2" fillId="0" borderId="0" applyBorder="0" applyProtection="0"/>
    <xf numFmtId="0" fontId="2" fillId="0" borderId="0" applyBorder="0" applyProtection="0">
      <alignment horizontal="left"/>
    </xf>
    <xf numFmtId="0" fontId="4" fillId="0" borderId="0" applyBorder="0" applyProtection="0"/>
    <xf numFmtId="0" fontId="4" fillId="0" borderId="0"/>
  </cellStyleXfs>
  <cellXfs count="41">
    <xf numFmtId="0" fontId="0" fillId="0" borderId="0" xfId="0"/>
    <xf numFmtId="164" fontId="0" fillId="0" borderId="0" xfId="0" applyNumberFormat="1"/>
    <xf numFmtId="10" fontId="0" fillId="0" borderId="0" xfId="0" applyNumberFormat="1"/>
    <xf numFmtId="165" fontId="0" fillId="0" borderId="0" xfId="0" applyNumberFormat="1"/>
    <xf numFmtId="0" fontId="0" fillId="0" borderId="0" xfId="0" applyAlignment="1">
      <alignment horizontal="center"/>
    </xf>
    <xf numFmtId="0" fontId="2" fillId="0" borderId="0" xfId="0" applyFont="1"/>
    <xf numFmtId="0" fontId="0" fillId="4" borderId="1" xfId="0" applyFill="1" applyBorder="1" applyAlignment="1">
      <alignment horizontal="left" vertical="top"/>
    </xf>
    <xf numFmtId="164" fontId="0" fillId="4" borderId="1" xfId="0" applyNumberFormat="1" applyFill="1" applyBorder="1" applyAlignment="1">
      <alignment horizontal="left" vertical="top"/>
    </xf>
    <xf numFmtId="10" fontId="0" fillId="4" borderId="1" xfId="0" applyNumberFormat="1" applyFill="1" applyBorder="1" applyAlignment="1">
      <alignment horizontal="left" vertical="top"/>
    </xf>
    <xf numFmtId="165" fontId="0" fillId="4" borderId="1" xfId="0" applyNumberFormat="1" applyFill="1" applyBorder="1" applyAlignment="1">
      <alignment horizontal="left" vertical="top"/>
    </xf>
    <xf numFmtId="0" fontId="0" fillId="4" borderId="1" xfId="0" applyFill="1" applyBorder="1" applyAlignment="1">
      <alignment horizontal="left" vertical="top" wrapText="1"/>
    </xf>
    <xf numFmtId="0" fontId="0" fillId="0" borderId="0" xfId="0" applyAlignment="1">
      <alignment horizontal="left"/>
    </xf>
    <xf numFmtId="0" fontId="0" fillId="0" borderId="1" xfId="0" applyBorder="1"/>
    <xf numFmtId="164" fontId="0" fillId="0" borderId="1" xfId="0" applyNumberFormat="1" applyBorder="1"/>
    <xf numFmtId="10" fontId="0" fillId="0" borderId="1" xfId="0" applyNumberFormat="1" applyBorder="1"/>
    <xf numFmtId="165" fontId="0" fillId="0" borderId="1" xfId="0" applyNumberFormat="1" applyBorder="1"/>
    <xf numFmtId="0" fontId="0" fillId="0" borderId="1" xfId="0" applyBorder="1" applyAlignment="1">
      <alignment horizontal="center"/>
    </xf>
    <xf numFmtId="14" fontId="3" fillId="0" borderId="0" xfId="0" applyNumberFormat="1" applyFont="1"/>
    <xf numFmtId="14" fontId="2" fillId="0" borderId="0" xfId="0" applyNumberFormat="1" applyFont="1"/>
    <xf numFmtId="14" fontId="0" fillId="3" borderId="1" xfId="0" applyNumberFormat="1" applyFill="1" applyBorder="1"/>
    <xf numFmtId="14" fontId="0" fillId="4" borderId="1" xfId="0" applyNumberFormat="1" applyFill="1" applyBorder="1" applyAlignment="1">
      <alignment horizontal="left" vertical="top"/>
    </xf>
    <xf numFmtId="14" fontId="0" fillId="0" borderId="1" xfId="0" applyNumberFormat="1" applyBorder="1"/>
    <xf numFmtId="14"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wrapText="1"/>
    </xf>
    <xf numFmtId="0" fontId="0" fillId="0" borderId="0" xfId="0" pivotButton="1" applyAlignment="1">
      <alignment wrapText="1"/>
    </xf>
    <xf numFmtId="0" fontId="5" fillId="0" borderId="0" xfId="0" applyFont="1"/>
    <xf numFmtId="0" fontId="8" fillId="0" borderId="0" xfId="0" applyFont="1"/>
    <xf numFmtId="0" fontId="7" fillId="0" borderId="0" xfId="0" applyFont="1" applyAlignment="1">
      <alignment wrapText="1"/>
    </xf>
    <xf numFmtId="0" fontId="8" fillId="0" borderId="0" xfId="0" applyFont="1" applyAlignment="1">
      <alignment wrapText="1"/>
    </xf>
    <xf numFmtId="0" fontId="0" fillId="0" borderId="0" xfId="0" applyAlignment="1">
      <alignment horizontal="left" wrapText="1"/>
    </xf>
    <xf numFmtId="0" fontId="7" fillId="0" borderId="0" xfId="0" applyFont="1"/>
    <xf numFmtId="0" fontId="6" fillId="0" borderId="0" xfId="0" applyFont="1" applyAlignment="1">
      <alignment wrapText="1"/>
    </xf>
    <xf numFmtId="0" fontId="0" fillId="0" borderId="0" xfId="0" applyAlignment="1">
      <alignment horizontal="left" indent="3"/>
    </xf>
    <xf numFmtId="14" fontId="0" fillId="4" borderId="1" xfId="0" applyNumberFormat="1" applyFill="1" applyBorder="1" applyAlignment="1">
      <alignment horizontal="left" vertical="top" wrapText="1"/>
    </xf>
    <xf numFmtId="0" fontId="7" fillId="0" borderId="2" xfId="0" applyFont="1" applyBorder="1"/>
    <xf numFmtId="0" fontId="9" fillId="0" borderId="2" xfId="0" applyFont="1" applyBorder="1"/>
    <xf numFmtId="0" fontId="3" fillId="0" borderId="0" xfId="0" applyFont="1"/>
    <xf numFmtId="0" fontId="0" fillId="0" borderId="0" xfId="0" applyNumberFormat="1" applyAlignment="1">
      <alignment wrapText="1"/>
    </xf>
  </cellXfs>
  <cellStyles count="9">
    <cellStyle name="Neutral 2" xfId="1" xr:uid="{00000000-0005-0000-0000-000006000000}"/>
    <cellStyle name="Normal" xfId="0" builtinId="0"/>
    <cellStyle name="Pivot Table Category" xfId="2" xr:uid="{00000000-0005-0000-0000-000007000000}"/>
    <cellStyle name="Pivot Table Corner" xfId="3" xr:uid="{00000000-0005-0000-0000-000008000000}"/>
    <cellStyle name="Pivot Table Field" xfId="4" xr:uid="{00000000-0005-0000-0000-000009000000}"/>
    <cellStyle name="Pivot Table Result" xfId="5" xr:uid="{00000000-0005-0000-0000-00000A000000}"/>
    <cellStyle name="Pivot Table Title" xfId="6" xr:uid="{00000000-0005-0000-0000-00000B000000}"/>
    <cellStyle name="Pivot Table Value" xfId="7" xr:uid="{00000000-0005-0000-0000-00000C000000}"/>
    <cellStyle name="Standard 2" xfId="8" xr:uid="{00000000-0005-0000-0000-00000D000000}"/>
  </cellStyles>
  <dxfs count="24">
    <dxf>
      <alignment wrapText="1" indent="0"/>
    </dxf>
    <dxf>
      <alignment wrapText="1" indent="0"/>
    </dxf>
    <dxf>
      <alignment wrapText="1" indent="0"/>
    </dxf>
    <dxf>
      <alignment wrapText="1" indent="0"/>
    </dxf>
    <dxf>
      <alignment wrapText="1" indent="0"/>
    </dxf>
    <dxf>
      <alignment wrapText="1"/>
    </dxf>
    <dxf>
      <alignment wrapText="1"/>
    </dxf>
    <dxf>
      <alignment wrapText="1"/>
    </dxf>
    <dxf>
      <alignment wrapText="1"/>
    </dxf>
    <dxf>
      <alignment wrapText="1"/>
    </dxf>
    <dxf>
      <alignment wrapText="1"/>
    </dxf>
    <dxf>
      <font>
        <color rgb="FFFF0000"/>
      </font>
    </dxf>
    <dxf>
      <font>
        <color rgb="FFFF0000"/>
      </font>
    </dxf>
    <dxf>
      <alignment wrapText="1"/>
    </dxf>
    <dxf>
      <alignment wrapText="1"/>
    </dxf>
    <dxf>
      <alignment wrapText="1"/>
    </dxf>
    <dxf>
      <alignment wrapText="1"/>
    </dxf>
    <dxf>
      <alignment wrapText="1"/>
    </dxf>
    <dxf>
      <alignment wrapText="1"/>
    </dxf>
    <dxf>
      <alignment wrapText="1" indent="0"/>
    </dxf>
    <dxf>
      <alignment wrapText="1" indent="0"/>
    </dxf>
    <dxf>
      <alignment wrapText="1" indent="0"/>
    </dxf>
    <dxf>
      <alignment wrapText="1" indent="0"/>
    </dxf>
    <dxf>
      <alignment wrapText="1" indent="0"/>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Kafader Simon" refreshedDate="46027.606349189817" createdVersion="8" refreshedVersion="8" minRefreshableVersion="3" recordCount="2" xr:uid="{19CCD4CE-71BA-456C-AC09-85819591646C}">
  <cacheSource type="worksheet">
    <worksheetSource ref="A12:V1048576" sheet="Data"/>
  </cacheSource>
  <cacheFields count="22">
    <cacheField name="Description cycle de paiement" numFmtId="0">
      <sharedItems containsBlank="1"/>
    </cacheField>
    <cacheField name="Date d'échéance" numFmtId="14">
      <sharedItems containsBlank="1"/>
    </cacheField>
    <cacheField name="Commune" numFmtId="0">
      <sharedItems containsBlank="1" count="2">
        <s v="{gemeinde}"/>
        <m/>
      </sharedItems>
    </cacheField>
    <cacheField name="Institution" numFmtId="0">
      <sharedItems containsBlank="1" count="2">
        <s v="{institution}"/>
        <m/>
      </sharedItems>
    </cacheField>
    <cacheField name="Date de création du cycle de paiement" numFmtId="164">
      <sharedItems containsBlank="1"/>
    </cacheField>
    <cacheField name="Nom de famille" numFmtId="0">
      <sharedItems containsBlank="1"/>
    </cacheField>
    <cacheField name="Prénom" numFmtId="0">
      <sharedItems containsBlank="1"/>
    </cacheField>
    <cacheField name="Nom de famille, Prénom" numFmtId="0">
      <sharedItems containsBlank="1" count="2">
        <s v="{kindNachname} {kindVorname}"/>
        <m/>
      </sharedItems>
    </cacheField>
    <cacheField name="N° de réf." numFmtId="0">
      <sharedItems containsBlank="1" count="2">
        <s v="{referenznummer}"/>
        <m/>
      </sharedItems>
    </cacheField>
    <cacheField name="Du" numFmtId="14">
      <sharedItems containsBlank="1"/>
    </cacheField>
    <cacheField name="Mois" numFmtId="14">
      <sharedItems containsBlank="1" count="2">
        <s v="{zeitabschnittVon}"/>
        <m/>
      </sharedItems>
    </cacheField>
    <cacheField name="Année" numFmtId="0">
      <sharedItems containsBlank="1" count="2">
        <e v="#VALUE!"/>
        <m/>
      </sharedItems>
    </cacheField>
    <cacheField name="Au" numFmtId="14">
      <sharedItems containsBlank="1"/>
    </cacheField>
    <cacheField name="Taux de prise en charge subventionné" numFmtId="10">
      <sharedItems containsBlank="1"/>
    </cacheField>
    <cacheField name="Montant en francs" numFmtId="165">
      <sharedItems containsBlank="1"/>
    </cacheField>
    <cacheField name="Rectification" numFmtId="0">
      <sharedItems containsBlank="1"/>
    </cacheField>
    <cacheField name="Ne s’applique pas lors du cycle de paiement" numFmtId="0">
      <sharedItems containsBlank="1"/>
    </cacheField>
    <cacheField name="Numéro IBAN" numFmtId="0">
      <sharedItems containsBlank="1"/>
    </cacheField>
    <cacheField name="Titulaire du compte" numFmtId="0">
      <sharedItems containsBlank="1"/>
    </cacheField>
    <cacheField name="Cellule complétée" numFmtId="0">
      <sharedItems containsBlank="1" count="2">
        <s v="x"/>
        <m/>
      </sharedItems>
    </cacheField>
    <cacheField name="Versement à (pour enfant tableau croisé dynamique)" numFmtId="0">
      <sharedItems containsBlank="1" count="2">
        <s v="Versement à la structure d’accueil"/>
        <m/>
      </sharedItems>
    </cacheField>
    <cacheField name="Versement à  (pour commune tableau croisé dynamique)" numFmtId="0">
      <sharedItems containsBlank="1" count="2">
        <s v="Versement à la structure d’accuei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s v="{zahlungslaufTitle}"/>
    <s v="{faelligkeitsDatum}"/>
    <x v="0"/>
    <x v="0"/>
    <s v="{timestampZahlungslauf}"/>
    <s v="{kindNachname}"/>
    <s v="{kindVorname}"/>
    <x v="0"/>
    <x v="0"/>
    <s v="{zeitabschnittVon}"/>
    <x v="0"/>
    <x v="0"/>
    <s v="{zeitabschnittBis}"/>
    <s v="{bgPensum}"/>
    <s v="{betrag}"/>
    <s v="{korrektur}"/>
    <s v="{ignorieren}"/>
    <s v="{ibanEltern}"/>
    <s v="{kontoEltern}"/>
    <x v="0"/>
    <x v="0"/>
    <x v="0"/>
  </r>
  <r>
    <m/>
    <m/>
    <x v="1"/>
    <x v="1"/>
    <m/>
    <m/>
    <m/>
    <x v="1"/>
    <x v="1"/>
    <m/>
    <x v="1"/>
    <x v="1"/>
    <m/>
    <m/>
    <m/>
    <m/>
    <m/>
    <m/>
    <m/>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51875-8A88-48FE-A37D-3A132351B8AB}" name="PivotTable1" cacheId="2" applyNumberFormats="0" applyBorderFormats="0" applyFontFormats="0" applyPatternFormats="0" applyAlignmentFormats="0" applyWidthHeightFormats="0" dataCaption="Values" grandTotalCaption="Bons de garde accordés " updatedVersion="8" itemPrintTitles="1" indent="0" outline="1" outlineData="1" rowHeaderCaption="filtrage">
  <location ref="A8:C16" firstHeaderRow="1" firstDataRow="2" firstDataCol="1" rowPageCount="1" colPageCount="1"/>
  <pivotFields count="22">
    <pivotField showAll="0" includeNewItemsInFilter="1"/>
    <pivotField showAll="0" includeNewItemsInFilter="1"/>
    <pivotField axis="axisRow" showAll="0" includeNewItemsInFilter="1" defaultSubtotal="0">
      <items count="2">
        <item x="0"/>
        <item h="1" x="1"/>
      </items>
    </pivotField>
    <pivotField axis="axisRow" showAll="0">
      <items count="3">
        <item x="0"/>
        <item x="1"/>
        <item t="default"/>
      </items>
    </pivotField>
    <pivotField showAll="0" includeNewItemsInFilter="1"/>
    <pivotField showAll="0" includeNewItemsInFilter="1"/>
    <pivotField showAll="0" includeNewItemsInFilter="1"/>
    <pivotField axis="axisRow" showAll="0" includeNewItemsInFilter="1">
      <items count="3">
        <item x="0"/>
        <item x="1"/>
        <item t="default"/>
      </items>
    </pivotField>
    <pivotField axis="axisRow" showAll="0" includeNewItemsInFilter="1">
      <items count="3">
        <item x="0"/>
        <item x="1"/>
        <item t="default"/>
      </items>
    </pivotField>
    <pivotField showAll="0" includeNewItemsInFilter="1"/>
    <pivotField axis="axisRow" showAll="0" includeNewItemsInFilter="1">
      <items count="3">
        <item x="0"/>
        <item x="1"/>
        <item t="default"/>
      </items>
    </pivotField>
    <pivotField axis="axisRow" showAll="0" includeNewItemsInFilter="1">
      <items count="3">
        <item x="0"/>
        <item x="1"/>
        <item t="default"/>
      </items>
    </pivotField>
    <pivotField showAll="0" includeNewItemsInFilter="1"/>
    <pivotField showAll="0" includeNewItemsInFilter="1"/>
    <pivotField dataField="1" showAll="0" includeNewItemsInFilter="1"/>
    <pivotField showAll="0" includeNewItemsInFilter="1"/>
    <pivotField showAll="0" includeNewItemsInFilter="1"/>
    <pivotField showAll="0" includeNewItemsInFilter="1"/>
    <pivotField showAll="0" includeNewItemsInFilter="1"/>
    <pivotField axis="axisPage" showAll="0" includeNewItemsInFilter="1">
      <items count="3">
        <item x="0"/>
        <item x="1"/>
        <item t="default"/>
      </items>
    </pivotField>
    <pivotField axis="axisCol" showAll="0" includeNewItemsInFilter="1">
      <items count="3">
        <item x="0"/>
        <item x="1"/>
        <item t="default"/>
      </items>
    </pivotField>
    <pivotField showAll="0" includeNewItemsInFilter="1"/>
  </pivotFields>
  <rowFields count="6">
    <field x="2"/>
    <field x="3"/>
    <field x="7"/>
    <field x="8"/>
    <field x="11"/>
    <field x="10"/>
  </rowFields>
  <rowItems count="7">
    <i>
      <x/>
    </i>
    <i r="1">
      <x/>
    </i>
    <i r="2">
      <x/>
    </i>
    <i r="3">
      <x/>
    </i>
    <i r="4">
      <x/>
    </i>
    <i r="5">
      <x/>
    </i>
    <i t="grand">
      <x/>
    </i>
  </rowItems>
  <colFields count="1">
    <field x="20"/>
  </colFields>
  <colItems count="2">
    <i>
      <x/>
    </i>
    <i t="grand">
      <x/>
    </i>
  </colItems>
  <pageFields count="1">
    <pageField fld="19" hier="-1"/>
  </pageFields>
  <dataFields count="1">
    <dataField name="Summe von Montant en francs" fld="14" baseField="2" baseItem="0"/>
  </dataFields>
  <formats count="8">
    <format dxfId="23">
      <pivotArea type="all" dataOnly="0" outline="0" fieldPosition="0"/>
    </format>
    <format dxfId="22">
      <pivotArea outline="0" fieldPosition="0"/>
    </format>
    <format dxfId="21">
      <pivotArea type="origin" dataOnly="0" labelOnly="1" outline="0" fieldPosition="0"/>
    </format>
    <format dxfId="20">
      <pivotArea type="topRight" dataOnly="0" labelOnly="1" outline="0" fieldPosition="0"/>
    </format>
    <format dxfId="19">
      <pivotArea dataOnly="0" labelOnly="1" grandCol="1" outline="0" fieldPosition="0"/>
    </format>
    <format dxfId="18">
      <pivotArea outline="0" fieldPosition="0"/>
    </format>
    <format dxfId="17">
      <pivotArea type="topRight" dataOnly="0" labelOnly="1" outline="0" fieldPosition="0"/>
    </format>
    <format dxfId="16">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DBE84-424D-47FB-9F75-85364042AE94}" name="DataPilot1" cacheId="2" applyNumberFormats="0" applyBorderFormats="0" applyFontFormats="0" applyPatternFormats="0" applyAlignmentFormats="0" applyWidthHeightFormats="0" dataCaption="Values" grandTotalCaption="Bons de garde accordés " updatedVersion="8" itemPrintTitles="1" indent="0" outline="1" outlineData="1" rowHeaderCaption="Filter">
  <location ref="A9:C15" firstHeaderRow="1" firstDataRow="2" firstDataCol="1" rowPageCount="1" colPageCount="1"/>
  <pivotFields count="22">
    <pivotField showAll="0" includeNewItemsInFilter="1"/>
    <pivotField showAll="0" includeNewItemsInFilter="1"/>
    <pivotField axis="axisRow" showAll="0" includeNewItemsInFilter="1">
      <items count="3">
        <item x="0"/>
        <item h="1" x="1"/>
        <item t="default"/>
      </items>
    </pivotField>
    <pivotField axis="axisRow" showAll="0">
      <items count="3">
        <item x="0"/>
        <item x="1"/>
        <item t="default"/>
      </items>
    </pivotField>
    <pivotField showAll="0" includeNewItemsInFilter="1"/>
    <pivotField showAll="0" includeNewItemsInFilter="1"/>
    <pivotField showAll="0" includeNewItemsInFilter="1"/>
    <pivotField showAll="0" includeNewItemsInFilter="1"/>
    <pivotField showAll="0" includeNewItemsInFilter="1"/>
    <pivotField showAll="0" includeNewItemsInFilter="1"/>
    <pivotField axis="axisRow" showAll="0" includeNewItemsInFilter="1">
      <items count="3">
        <item x="0"/>
        <item x="1"/>
        <item t="default"/>
      </items>
    </pivotField>
    <pivotField axis="axisRow" showAll="0" includeNewItemsInFilter="1">
      <items count="3">
        <item x="0"/>
        <item x="1"/>
        <item t="default"/>
      </items>
    </pivotField>
    <pivotField showAll="0" includeNewItemsInFilter="1"/>
    <pivotField showAll="0" includeNewItemsInFilter="1"/>
    <pivotField dataField="1" showAll="0" includeNewItemsInFilter="1"/>
    <pivotField showAll="0" includeNewItemsInFilter="1"/>
    <pivotField showAll="0" includeNewItemsInFilter="1"/>
    <pivotField showAll="0" includeNewItemsInFilter="1"/>
    <pivotField showAll="0" includeNewItemsInFilter="1"/>
    <pivotField axis="axisPage" showAll="0" includeNewItemsInFilter="1">
      <items count="3">
        <item x="0"/>
        <item x="1"/>
        <item t="default"/>
      </items>
    </pivotField>
    <pivotField showAll="0" includeNewItemsInFilter="1"/>
    <pivotField axis="axisCol" showAll="0" includeNewItemsInFilter="1">
      <items count="3">
        <item x="0"/>
        <item x="1"/>
        <item t="default"/>
      </items>
    </pivotField>
  </pivotFields>
  <rowFields count="4">
    <field x="2"/>
    <field x="3"/>
    <field x="11"/>
    <field x="10"/>
  </rowFields>
  <rowItems count="5">
    <i>
      <x/>
    </i>
    <i r="1">
      <x/>
    </i>
    <i r="2">
      <x/>
    </i>
    <i r="3">
      <x/>
    </i>
    <i t="grand">
      <x/>
    </i>
  </rowItems>
  <colFields count="1">
    <field x="21"/>
  </colFields>
  <colItems count="2">
    <i>
      <x/>
    </i>
    <i t="grand">
      <x/>
    </i>
  </colItems>
  <pageFields count="1">
    <pageField fld="19" hier="-1"/>
  </pageFields>
  <dataFields count="1">
    <dataField name="Summe von Montant en francs" fld="14" baseField="3" baseItem="0"/>
  </dataFields>
  <formats count="3">
    <format dxfId="15">
      <pivotArea outline="0" fieldPosition="0"/>
    </format>
    <format dxfId="14">
      <pivotArea type="topRight" dataOnly="0" labelOnly="1" outline="0" fieldPosition="0"/>
    </format>
    <format dxfId="13">
      <pivotArea dataOnly="0" labelOnly="1" grandCol="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opLeftCell="A12" zoomScaleNormal="100" workbookViewId="0">
      <selection activeCell="T13" sqref="T13"/>
    </sheetView>
  </sheetViews>
  <sheetFormatPr baseColWidth="10" defaultColWidth="11.5" defaultRowHeight="15" x14ac:dyDescent="0.2"/>
  <cols>
    <col min="1" max="1" width="27.6640625" bestFit="1" customWidth="1"/>
    <col min="2" max="2" width="21.1640625" style="22" customWidth="1"/>
    <col min="3" max="4" width="21.1640625" customWidth="1"/>
    <col min="5" max="5" width="34.6640625" style="1" bestFit="1" customWidth="1"/>
    <col min="6" max="6" width="30.83203125" customWidth="1"/>
    <col min="7" max="7" width="13.1640625" bestFit="1" customWidth="1"/>
    <col min="8" max="8" width="14.1640625" customWidth="1"/>
    <col min="9" max="9" width="21.1640625" customWidth="1"/>
    <col min="10" max="10" width="19.5" style="22" customWidth="1"/>
    <col min="11" max="11" width="11.1640625" style="22" customWidth="1"/>
    <col min="12" max="12" width="13.6640625" style="22" customWidth="1"/>
    <col min="13" max="13" width="19.5" style="22" customWidth="1"/>
    <col min="14" max="14" width="19.5" style="2" customWidth="1"/>
    <col min="15" max="15" width="16.5" style="3" customWidth="1"/>
    <col min="16" max="16" width="11.5" style="4"/>
    <col min="17" max="17" width="18.83203125" style="4" customWidth="1"/>
    <col min="18" max="19" width="23.33203125" customWidth="1"/>
    <col min="20" max="20" width="21.1640625" customWidth="1"/>
    <col min="21" max="21" width="44.33203125" customWidth="1"/>
    <col min="22" max="22" width="47.5" style="4" customWidth="1"/>
    <col min="23" max="23" width="12.1640625" bestFit="1" customWidth="1"/>
  </cols>
  <sheetData>
    <row r="1" spans="1:23" ht="21" x14ac:dyDescent="0.25">
      <c r="A1" s="39" t="s">
        <v>56</v>
      </c>
      <c r="B1" s="17"/>
    </row>
    <row r="3" spans="1:23" x14ac:dyDescent="0.2">
      <c r="A3" s="5" t="s">
        <v>57</v>
      </c>
      <c r="B3" s="18"/>
      <c r="T3" s="5"/>
      <c r="U3" s="5"/>
    </row>
    <row r="4" spans="1:23" x14ac:dyDescent="0.2">
      <c r="A4" t="s">
        <v>58</v>
      </c>
      <c r="B4" s="19" t="s">
        <v>0</v>
      </c>
    </row>
    <row r="5" spans="1:23" x14ac:dyDescent="0.2">
      <c r="A5" t="s">
        <v>28</v>
      </c>
      <c r="B5" s="19" t="s">
        <v>1</v>
      </c>
    </row>
    <row r="6" spans="1:23" x14ac:dyDescent="0.2">
      <c r="A6" t="s">
        <v>2</v>
      </c>
      <c r="B6" s="19" t="s">
        <v>3</v>
      </c>
    </row>
    <row r="7" spans="1:23" x14ac:dyDescent="0.2">
      <c r="A7" t="s">
        <v>59</v>
      </c>
      <c r="B7" s="19" t="s">
        <v>4</v>
      </c>
    </row>
    <row r="8" spans="1:23" x14ac:dyDescent="0.2">
      <c r="A8" t="s">
        <v>60</v>
      </c>
      <c r="B8" s="19" t="s">
        <v>25</v>
      </c>
    </row>
    <row r="9" spans="1:23" x14ac:dyDescent="0.2">
      <c r="A9" t="s">
        <v>37</v>
      </c>
      <c r="B9" s="19" t="s">
        <v>24</v>
      </c>
    </row>
    <row r="12" spans="1:23" s="11" customFormat="1" ht="32" x14ac:dyDescent="0.2">
      <c r="A12" s="6" t="s">
        <v>26</v>
      </c>
      <c r="B12" s="36" t="s">
        <v>27</v>
      </c>
      <c r="C12" s="6" t="s">
        <v>28</v>
      </c>
      <c r="D12" s="6" t="s">
        <v>2</v>
      </c>
      <c r="E12" s="7" t="s">
        <v>29</v>
      </c>
      <c r="F12" s="6" t="s">
        <v>30</v>
      </c>
      <c r="G12" s="6" t="s">
        <v>31</v>
      </c>
      <c r="H12" s="6" t="s">
        <v>32</v>
      </c>
      <c r="I12" s="6" t="s">
        <v>33</v>
      </c>
      <c r="J12" s="20" t="s">
        <v>34</v>
      </c>
      <c r="K12" s="20" t="s">
        <v>35</v>
      </c>
      <c r="L12" s="20" t="s">
        <v>36</v>
      </c>
      <c r="M12" s="20" t="s">
        <v>37</v>
      </c>
      <c r="N12" s="8" t="s">
        <v>38</v>
      </c>
      <c r="O12" s="9" t="s">
        <v>39</v>
      </c>
      <c r="P12" s="6" t="s">
        <v>40</v>
      </c>
      <c r="Q12" s="10" t="s">
        <v>41</v>
      </c>
      <c r="R12" s="10" t="s">
        <v>42</v>
      </c>
      <c r="S12" s="10" t="s">
        <v>43</v>
      </c>
      <c r="T12" s="6" t="s">
        <v>63</v>
      </c>
      <c r="U12" s="6" t="s">
        <v>54</v>
      </c>
      <c r="V12" s="6" t="s">
        <v>55</v>
      </c>
    </row>
    <row r="13" spans="1:23" x14ac:dyDescent="0.2">
      <c r="A13" s="12" t="s">
        <v>5</v>
      </c>
      <c r="B13" s="21" t="s">
        <v>6</v>
      </c>
      <c r="C13" s="12" t="s">
        <v>7</v>
      </c>
      <c r="D13" s="12" t="s">
        <v>8</v>
      </c>
      <c r="E13" s="13" t="s">
        <v>9</v>
      </c>
      <c r="F13" s="12" t="s">
        <v>10</v>
      </c>
      <c r="G13" s="12" t="s">
        <v>11</v>
      </c>
      <c r="H13" s="12" t="str">
        <f>CONCATENATE(F13," ",G13)</f>
        <v>{kindNachname} {kindVorname}</v>
      </c>
      <c r="I13" s="12" t="s">
        <v>12</v>
      </c>
      <c r="J13" s="21" t="s">
        <v>13</v>
      </c>
      <c r="K13" s="21" t="str">
        <f>TEXT(J13,"MMM")</f>
        <v>{zeitabschnittVon}</v>
      </c>
      <c r="L13" s="12" t="e">
        <f>YEAR(J13)</f>
        <v>#VALUE!</v>
      </c>
      <c r="M13" s="21" t="s">
        <v>14</v>
      </c>
      <c r="N13" s="14" t="s">
        <v>15</v>
      </c>
      <c r="O13" s="15" t="s">
        <v>16</v>
      </c>
      <c r="P13" s="16" t="s">
        <v>17</v>
      </c>
      <c r="Q13" s="16" t="s">
        <v>18</v>
      </c>
      <c r="R13" s="12" t="s">
        <v>19</v>
      </c>
      <c r="S13" s="12" t="s">
        <v>20</v>
      </c>
      <c r="T13" s="12" t="str">
        <f>IF(A13&lt;&gt;"","x","")</f>
        <v>x</v>
      </c>
      <c r="U13" s="12" t="str">
        <f>IF(Q13="X","Abrechnung direkt zwischen Gemeinde &amp; Erziehungsberechtigten","Versement à la structure d’accueil")</f>
        <v>Versement à la structure d’accueil</v>
      </c>
      <c r="V13" s="12" t="str">
        <f>IF(Q13="X","Ausserhalb von kiBon","Versement à la structure d’accueil")</f>
        <v>Versement à la structure d’accueil</v>
      </c>
      <c r="W13" t="s">
        <v>21</v>
      </c>
    </row>
  </sheetData>
  <autoFilter ref="A12:Q12" xr:uid="{00000000-0009-0000-0000-000000000000}"/>
  <sortState xmlns:xlrd2="http://schemas.microsoft.com/office/spreadsheetml/2017/richdata2" ref="A13:W13">
    <sortCondition ref="I13"/>
    <sortCondition ref="J13"/>
  </sortState>
  <conditionalFormatting sqref="A13:P13 R13:W13">
    <cfRule type="expression" dxfId="12" priority="4">
      <formula>$N13="X"</formula>
    </cfRule>
  </conditionalFormatting>
  <conditionalFormatting sqref="Q13">
    <cfRule type="expression" dxfId="11" priority="1">
      <formula>$M13="X"</formula>
    </cfRule>
  </conditionalFormatting>
  <pageMargins left="0.7" right="0.7"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zoomScaleNormal="100" workbookViewId="0">
      <selection activeCell="A9" sqref="A9"/>
    </sheetView>
  </sheetViews>
  <sheetFormatPr baseColWidth="10" defaultColWidth="11.5" defaultRowHeight="15" x14ac:dyDescent="0.2"/>
  <cols>
    <col min="1" max="1" width="26.83203125" style="26" customWidth="1"/>
    <col min="2" max="2" width="22.33203125" style="26" customWidth="1"/>
    <col min="3" max="3" width="26.83203125" style="26" customWidth="1"/>
    <col min="4" max="4" width="24.33203125" style="26" customWidth="1"/>
    <col min="5" max="5" width="35.6640625" style="26" bestFit="1" customWidth="1"/>
    <col min="6" max="6" width="30.6640625" style="26" bestFit="1" customWidth="1"/>
    <col min="7" max="7" width="21.33203125" style="26" bestFit="1" customWidth="1"/>
    <col min="8" max="8" width="25.6640625" style="26" customWidth="1"/>
    <col min="9" max="16384" width="11.5" style="26"/>
  </cols>
  <sheetData>
    <row r="1" spans="1:7" customFormat="1" ht="21" x14ac:dyDescent="0.25">
      <c r="A1" s="28" t="s">
        <v>53</v>
      </c>
      <c r="B1" s="30"/>
      <c r="C1" s="30"/>
      <c r="D1" s="30"/>
      <c r="E1" s="33"/>
    </row>
    <row r="2" spans="1:7" customFormat="1" x14ac:dyDescent="0.2">
      <c r="A2" s="29" t="s">
        <v>44</v>
      </c>
      <c r="B2" s="30"/>
      <c r="C2" s="30"/>
      <c r="D2" s="30"/>
      <c r="E2" s="33"/>
    </row>
    <row r="3" spans="1:7" customFormat="1" x14ac:dyDescent="0.2">
      <c r="A3" s="29" t="s">
        <v>45</v>
      </c>
      <c r="B3" s="30"/>
      <c r="C3" s="30"/>
      <c r="D3" s="30"/>
      <c r="E3" s="33"/>
    </row>
    <row r="4" spans="1:7" customFormat="1" x14ac:dyDescent="0.2">
      <c r="A4" s="29" t="s">
        <v>46</v>
      </c>
      <c r="B4" s="30"/>
      <c r="C4" s="30"/>
      <c r="D4" s="30"/>
      <c r="E4" s="33"/>
    </row>
    <row r="5" spans="1:7" x14ac:dyDescent="0.2">
      <c r="A5" s="31"/>
      <c r="B5" s="30"/>
      <c r="C5" s="30"/>
      <c r="D5" s="30"/>
      <c r="E5" s="30"/>
    </row>
    <row r="6" spans="1:7" ht="16" hidden="1" x14ac:dyDescent="0.2">
      <c r="A6" s="27" t="s">
        <v>63</v>
      </c>
      <c r="B6" s="26" t="s">
        <v>66</v>
      </c>
    </row>
    <row r="7" spans="1:7" x14ac:dyDescent="0.2">
      <c r="E7"/>
      <c r="F7"/>
    </row>
    <row r="8" spans="1:7" ht="16" hidden="1" x14ac:dyDescent="0.2">
      <c r="A8" s="27" t="s">
        <v>61</v>
      </c>
      <c r="B8" s="27" t="s">
        <v>64</v>
      </c>
      <c r="D8"/>
    </row>
    <row r="9" spans="1:7" ht="49.5" customHeight="1" x14ac:dyDescent="0.2">
      <c r="A9" s="27" t="s">
        <v>47</v>
      </c>
      <c r="B9" s="26" t="s">
        <v>62</v>
      </c>
      <c r="C9" s="26" t="s">
        <v>48</v>
      </c>
      <c r="D9"/>
      <c r="E9"/>
      <c r="F9"/>
      <c r="G9"/>
    </row>
    <row r="10" spans="1:7" ht="16" x14ac:dyDescent="0.2">
      <c r="A10" s="32" t="s">
        <v>7</v>
      </c>
      <c r="B10" s="40"/>
      <c r="C10" s="40"/>
      <c r="D10"/>
      <c r="E10"/>
      <c r="F10"/>
      <c r="G10"/>
    </row>
    <row r="11" spans="1:7" ht="16" x14ac:dyDescent="0.2">
      <c r="A11" s="32" t="s">
        <v>8</v>
      </c>
      <c r="B11" s="40">
        <v>0</v>
      </c>
      <c r="C11" s="40">
        <v>0</v>
      </c>
      <c r="D11"/>
      <c r="E11"/>
      <c r="F11"/>
      <c r="G11"/>
    </row>
    <row r="12" spans="1:7" ht="32" x14ac:dyDescent="0.2">
      <c r="A12" s="32" t="s">
        <v>22</v>
      </c>
      <c r="B12" s="40">
        <v>0</v>
      </c>
      <c r="C12" s="40">
        <v>0</v>
      </c>
      <c r="D12"/>
      <c r="E12"/>
      <c r="F12"/>
      <c r="G12"/>
    </row>
    <row r="13" spans="1:7" ht="16" x14ac:dyDescent="0.2">
      <c r="A13" s="32" t="s">
        <v>12</v>
      </c>
      <c r="B13" s="40">
        <v>0</v>
      </c>
      <c r="C13" s="40">
        <v>0</v>
      </c>
      <c r="D13"/>
      <c r="E13"/>
      <c r="F13"/>
      <c r="G13"/>
    </row>
    <row r="14" spans="1:7" ht="16" x14ac:dyDescent="0.2">
      <c r="A14" s="32" t="s">
        <v>65</v>
      </c>
      <c r="B14" s="40">
        <v>0</v>
      </c>
      <c r="C14" s="40">
        <v>0</v>
      </c>
      <c r="D14"/>
      <c r="E14"/>
      <c r="F14"/>
      <c r="G14"/>
    </row>
    <row r="15" spans="1:7" ht="16" x14ac:dyDescent="0.2">
      <c r="A15" s="32" t="s">
        <v>13</v>
      </c>
      <c r="B15" s="40">
        <v>0</v>
      </c>
      <c r="C15" s="40">
        <v>0</v>
      </c>
      <c r="D15"/>
      <c r="E15"/>
      <c r="F15"/>
      <c r="G15"/>
    </row>
    <row r="16" spans="1:7" ht="16" x14ac:dyDescent="0.2">
      <c r="A16" s="32" t="s">
        <v>48</v>
      </c>
      <c r="B16" s="40">
        <v>0</v>
      </c>
      <c r="C16" s="40">
        <v>0</v>
      </c>
      <c r="D16"/>
      <c r="E16"/>
      <c r="F16"/>
      <c r="G16"/>
    </row>
    <row r="17" spans="1:7" x14ac:dyDescent="0.2">
      <c r="A17"/>
      <c r="B17"/>
      <c r="C17"/>
      <c r="D17"/>
      <c r="E17"/>
      <c r="F17"/>
      <c r="G17"/>
    </row>
    <row r="18" spans="1:7" x14ac:dyDescent="0.2">
      <c r="A18"/>
      <c r="B18"/>
      <c r="C18"/>
      <c r="D18"/>
      <c r="E18"/>
      <c r="F18"/>
      <c r="G18"/>
    </row>
    <row r="19" spans="1:7" x14ac:dyDescent="0.2">
      <c r="A19"/>
      <c r="B19"/>
      <c r="C19"/>
      <c r="D19"/>
      <c r="E19"/>
      <c r="F19"/>
      <c r="G19"/>
    </row>
    <row r="20" spans="1:7" x14ac:dyDescent="0.2">
      <c r="A20"/>
      <c r="B20"/>
      <c r="C20"/>
      <c r="D20"/>
      <c r="E20"/>
      <c r="F20"/>
      <c r="G20"/>
    </row>
    <row r="21" spans="1:7" x14ac:dyDescent="0.2">
      <c r="A21"/>
      <c r="B21"/>
      <c r="C21"/>
      <c r="D21"/>
      <c r="E21"/>
      <c r="F21"/>
      <c r="G21"/>
    </row>
    <row r="22" spans="1:7" x14ac:dyDescent="0.2">
      <c r="A22"/>
      <c r="B22"/>
      <c r="C22"/>
      <c r="D22"/>
      <c r="E22"/>
      <c r="F22"/>
      <c r="G22"/>
    </row>
    <row r="23" spans="1:7" x14ac:dyDescent="0.2">
      <c r="A23"/>
      <c r="B23"/>
      <c r="C23"/>
      <c r="E23"/>
      <c r="F23"/>
      <c r="G23"/>
    </row>
    <row r="24" spans="1:7" x14ac:dyDescent="0.2">
      <c r="A24"/>
      <c r="B24"/>
      <c r="C24"/>
      <c r="E24"/>
      <c r="F24"/>
      <c r="G24"/>
    </row>
    <row r="25" spans="1:7" x14ac:dyDescent="0.2">
      <c r="A25"/>
      <c r="B25"/>
      <c r="C25"/>
      <c r="E25"/>
      <c r="F25"/>
      <c r="G25"/>
    </row>
    <row r="26" spans="1:7" x14ac:dyDescent="0.2">
      <c r="E26"/>
      <c r="F26"/>
      <c r="G26"/>
    </row>
  </sheetData>
  <pageMargins left="0.7" right="0.7" top="0.78749999999999998" bottom="0.78749999999999998" header="0.511811023622047" footer="0.511811023622047"/>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zoomScaleNormal="100" workbookViewId="0">
      <selection activeCell="A10" sqref="A10"/>
    </sheetView>
  </sheetViews>
  <sheetFormatPr baseColWidth="10" defaultColWidth="11.5" defaultRowHeight="15" x14ac:dyDescent="0.2"/>
  <cols>
    <col min="1" max="1" width="21" customWidth="1"/>
    <col min="2" max="4" width="22.83203125" style="26" customWidth="1"/>
    <col min="5" max="5" width="13.5" customWidth="1"/>
    <col min="6" max="6" width="16.83203125" customWidth="1"/>
    <col min="7" max="7" width="13.33203125" customWidth="1"/>
    <col min="8" max="8" width="25.6640625" customWidth="1"/>
  </cols>
  <sheetData>
    <row r="1" spans="1:4" ht="21" x14ac:dyDescent="0.25">
      <c r="A1" s="28" t="s">
        <v>52</v>
      </c>
      <c r="B1" s="34"/>
      <c r="C1" s="34"/>
      <c r="D1" s="34"/>
    </row>
    <row r="2" spans="1:4" x14ac:dyDescent="0.2">
      <c r="A2" s="37" t="s">
        <v>49</v>
      </c>
      <c r="B2" s="34"/>
      <c r="C2" s="34"/>
      <c r="D2" s="34"/>
    </row>
    <row r="3" spans="1:4" x14ac:dyDescent="0.2">
      <c r="A3" s="38" t="s">
        <v>50</v>
      </c>
      <c r="B3" s="34"/>
      <c r="C3" s="34"/>
      <c r="D3" s="34"/>
    </row>
    <row r="4" spans="1:4" x14ac:dyDescent="0.2">
      <c r="A4" s="38" t="s">
        <v>51</v>
      </c>
      <c r="B4" s="34"/>
      <c r="C4" s="34"/>
      <c r="D4" s="34"/>
    </row>
    <row r="5" spans="1:4" x14ac:dyDescent="0.2">
      <c r="A5" s="5"/>
    </row>
    <row r="6" spans="1:4" hidden="1" x14ac:dyDescent="0.2"/>
    <row r="7" spans="1:4" hidden="1" x14ac:dyDescent="0.2">
      <c r="A7" s="23" t="s">
        <v>63</v>
      </c>
      <c r="B7" t="s">
        <v>66</v>
      </c>
    </row>
    <row r="8" spans="1:4" hidden="1" x14ac:dyDescent="0.2"/>
    <row r="9" spans="1:4" hidden="1" x14ac:dyDescent="0.2">
      <c r="A9" s="23" t="s">
        <v>61</v>
      </c>
      <c r="B9" s="23" t="s">
        <v>64</v>
      </c>
      <c r="D9"/>
    </row>
    <row r="10" spans="1:4" ht="51.75" customHeight="1" x14ac:dyDescent="0.2">
      <c r="A10" s="23" t="s">
        <v>23</v>
      </c>
      <c r="B10" t="s">
        <v>62</v>
      </c>
      <c r="C10" s="26" t="s">
        <v>48</v>
      </c>
      <c r="D10"/>
    </row>
    <row r="11" spans="1:4" x14ac:dyDescent="0.2">
      <c r="A11" s="11" t="s">
        <v>7</v>
      </c>
      <c r="B11" s="40">
        <v>0</v>
      </c>
      <c r="C11" s="40">
        <v>0</v>
      </c>
      <c r="D11"/>
    </row>
    <row r="12" spans="1:4" x14ac:dyDescent="0.2">
      <c r="A12" s="24" t="s">
        <v>8</v>
      </c>
      <c r="B12" s="40">
        <v>0</v>
      </c>
      <c r="C12" s="40">
        <v>0</v>
      </c>
      <c r="D12"/>
    </row>
    <row r="13" spans="1:4" x14ac:dyDescent="0.2">
      <c r="A13" s="25" t="s">
        <v>65</v>
      </c>
      <c r="B13" s="40">
        <v>0</v>
      </c>
      <c r="C13" s="40">
        <v>0</v>
      </c>
      <c r="D13"/>
    </row>
    <row r="14" spans="1:4" x14ac:dyDescent="0.2">
      <c r="A14" s="35" t="s">
        <v>13</v>
      </c>
      <c r="B14" s="40">
        <v>0</v>
      </c>
      <c r="C14" s="40">
        <v>0</v>
      </c>
      <c r="D14"/>
    </row>
    <row r="15" spans="1:4" x14ac:dyDescent="0.2">
      <c r="A15" s="11" t="s">
        <v>48</v>
      </c>
      <c r="B15" s="40">
        <v>0</v>
      </c>
      <c r="C15" s="40">
        <v>0</v>
      </c>
      <c r="D15"/>
    </row>
    <row r="16" spans="1:4" x14ac:dyDescent="0.2">
      <c r="B16"/>
      <c r="C16"/>
      <c r="D16"/>
    </row>
    <row r="17" spans="2:4" x14ac:dyDescent="0.2">
      <c r="B17"/>
      <c r="C17"/>
      <c r="D17"/>
    </row>
    <row r="18" spans="2:4" x14ac:dyDescent="0.2">
      <c r="B18"/>
      <c r="C18"/>
      <c r="D18"/>
    </row>
    <row r="19" spans="2:4" x14ac:dyDescent="0.2">
      <c r="B19"/>
      <c r="C19"/>
      <c r="D19"/>
    </row>
    <row r="20" spans="2:4" x14ac:dyDescent="0.2">
      <c r="B20"/>
    </row>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Data</vt:lpstr>
      <vt:lpstr>Versements par enfant</vt:lpstr>
      <vt:lpstr>Versements par commune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Endtner Janik</dc:creator>
  <dc:description/>
  <cp:lastModifiedBy>Nell Frédéric</cp:lastModifiedBy>
  <cp:revision>3</cp:revision>
  <dcterms:created xsi:type="dcterms:W3CDTF">2023-03-27T13:14:04Z</dcterms:created>
  <dcterms:modified xsi:type="dcterms:W3CDTF">2026-02-09T10:17:46Z</dcterms:modified>
  <dc:language>en-US</dc:language>
</cp:coreProperties>
</file>