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frederic.nell/IdeaProjects/kibon-app/ebegu-server/src/main/resources/reporting/"/>
    </mc:Choice>
  </mc:AlternateContent>
  <xr:revisionPtr revIDLastSave="0" documentId="13_ncr:1_{BABB71A0-C78B-8C4D-8695-799D8E1DAE97}" xr6:coauthVersionLast="47" xr6:coauthVersionMax="47" xr10:uidLastSave="{00000000-0000-0000-0000-000000000000}"/>
  <bookViews>
    <workbookView xWindow="0" yWindow="660" windowWidth="34560" windowHeight="19980" tabRatio="500" activeTab="1" xr2:uid="{00000000-000D-0000-FFFF-FFFF00000000}"/>
  </bookViews>
  <sheets>
    <sheet name="Data" sheetId="1" r:id="rId1"/>
    <sheet name="Auszahlung nach Kind" sheetId="2" r:id="rId2"/>
    <sheet name="Auszahlung nach Gemeinde" sheetId="3" r:id="rId3"/>
  </sheets>
  <definedNames>
    <definedName name="_xlnm._FilterDatabase" localSheetId="0" hidden="1">Data!$A$12:$Q$12</definedName>
    <definedName name="data">Data!$A$12:$S$13</definedName>
  </definedNames>
  <calcPr calcId="191029"/>
  <pivotCaches>
    <pivotCache cacheId="6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13" i="1" l="1"/>
  <c r="U13" i="1"/>
  <c r="L13" i="1"/>
  <c r="K13" i="1"/>
  <c r="H13" i="1"/>
  <c r="T13" i="1"/>
</calcChain>
</file>

<file path=xl/sharedStrings.xml><?xml version="1.0" encoding="utf-8"?>
<sst xmlns="http://schemas.openxmlformats.org/spreadsheetml/2006/main" count="86" uniqueCount="64">
  <si>
    <t>Zahlungen</t>
  </si>
  <si>
    <t>Periode</t>
  </si>
  <si>
    <t>{periodeParam}</t>
  </si>
  <si>
    <t>Gemeinde</t>
  </si>
  <si>
    <t>{gemeindeParam}</t>
  </si>
  <si>
    <t>Institution</t>
  </si>
  <si>
    <t>{institutionParam}</t>
  </si>
  <si>
    <t>Generiert am</t>
  </si>
  <si>
    <t>{timestampParam}</t>
  </si>
  <si>
    <t>Titel Zahlungslauf</t>
  </si>
  <si>
    <t>Fälligkeitsdatum</t>
  </si>
  <si>
    <t>Erstellungsdatum Zahlungslauf</t>
  </si>
  <si>
    <t>Kind Nachname</t>
  </si>
  <si>
    <t>Kind Vorname</t>
  </si>
  <si>
    <t>Referenznummer</t>
  </si>
  <si>
    <t>von</t>
  </si>
  <si>
    <t>bis</t>
  </si>
  <si>
    <t>BG-Pensum</t>
  </si>
  <si>
    <t>Betrag in CHF</t>
  </si>
  <si>
    <t>Korrektur</t>
  </si>
  <si>
    <t>In Zahlungslauf ignorieren</t>
  </si>
  <si>
    <t>IBAN Eltern</t>
  </si>
  <si>
    <t>Kontoname Eltern</t>
  </si>
  <si>
    <t>Nicht leer</t>
  </si>
  <si>
    <t>{zahlungslaufTitle}</t>
  </si>
  <si>
    <t>{faelligkeitsDatum}</t>
  </si>
  <si>
    <t>{gemeinde}</t>
  </si>
  <si>
    <t>{institution}</t>
  </si>
  <si>
    <t>{timestampZahlungslauf}</t>
  </si>
  <si>
    <t>{kindNachname}</t>
  </si>
  <si>
    <t>{kindVorname}</t>
  </si>
  <si>
    <t>{referenznummer}</t>
  </si>
  <si>
    <t>{zeitabschnittVon}</t>
  </si>
  <si>
    <t>{zeitabschnittBis}</t>
  </si>
  <si>
    <t>{bgPensum}</t>
  </si>
  <si>
    <t>{betrag}</t>
  </si>
  <si>
    <t>{korrektur}</t>
  </si>
  <si>
    <t>{ignorieren}</t>
  </si>
  <si>
    <t>{ibanEltern}</t>
  </si>
  <si>
    <t>{kontoEltern}</t>
  </si>
  <si>
    <t>{repeatRow}</t>
  </si>
  <si>
    <t>Summe von Betrag in CHF</t>
  </si>
  <si>
    <t>x</t>
  </si>
  <si>
    <t>Nachname, Vorname</t>
  </si>
  <si>
    <t>{kindNachname} {kindVorname}</t>
  </si>
  <si>
    <t>Verfügte Betreuungsgutscheine</t>
  </si>
  <si>
    <t>Filter</t>
  </si>
  <si>
    <t>Übersicht Auszahlungen: nach Gemeinde</t>
  </si>
  <si>
    <t>Übersicht Auszahlungen: nach Kind</t>
  </si>
  <si>
    <t>Auszahlung an (für Gemeinde Pivot)</t>
  </si>
  <si>
    <t>Auszahlung an (für Kind Pivot)</t>
  </si>
  <si>
    <r>
      <t>Auszahlung an Institution:</t>
    </r>
    <r>
      <rPr>
        <sz val="11"/>
        <rFont val="Calibri"/>
        <family val="2"/>
      </rPr>
      <t xml:space="preserve"> Betrag, der von der Gemeinde an die Institution überwiesen wurde. Der Betrag beinhaltet Korrekturen, welche in den Zahlungslauf mit der Institution übernommen wurden. Dieser Betrag wird in der Rechnung an die Antragstellenden von den Vollkosten abgezogen.</t>
    </r>
  </si>
  <si>
    <r>
      <t xml:space="preserve">Verfügte Betreuungsgutscheine: </t>
    </r>
    <r>
      <rPr>
        <sz val="11"/>
        <rFont val="Calibri"/>
        <family val="2"/>
      </rPr>
      <t>Höhe des Betreuungsgutscheins pro Kind und Monat gemäss der aktuell gültigen Verfügung. Der Betrag beinhaltet Korrekturen, welche in den Zahlungslauf mit der Institution übernommen wurden, so wie auch Zahlungen, die nicht in den Zahlungslauf mit der Institution übernommen wurden und direkt zwischen Gemeinde und Antragstellenden abgerechnet werden.</t>
    </r>
  </si>
  <si>
    <r>
      <t>Abrechnung direkt zwischen Gemeinde &amp; Antragstellenden:</t>
    </r>
    <r>
      <rPr>
        <sz val="11"/>
        <rFont val="Calibri"/>
        <family val="2"/>
      </rPr>
      <t xml:space="preserve"> Korrekturbetrag zum effektiven Gutschein. Entspricht dem Differenzbetrag von dem an die Institution ausbezahlten Betrag und dem aktuell gültigen Betreuungsgutschein. Dieser Korrekturbetrag wird ausserhalb von kiBon von der Gemeinde direkt mit den Antragstellenden beglichen.</t>
    </r>
  </si>
  <si>
    <t>Von</t>
  </si>
  <si>
    <t>Bis</t>
  </si>
  <si>
    <t>{bisParam}</t>
  </si>
  <si>
    <t>{vonParam}</t>
  </si>
  <si>
    <t>Monat</t>
  </si>
  <si>
    <t>Jahr</t>
  </si>
  <si>
    <t>Étiquettes de colonnes</t>
  </si>
  <si>
    <t>#VALEUR!</t>
  </si>
  <si>
    <t>(Plusieurs éléments)</t>
  </si>
  <si>
    <t>Abrechnung direkt zwischen Gemeinde &amp; Antragstellenden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</si>
</sst>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CHF &quot;#,##0.00"/>
    <numFmt numFmtId="165" formatCode="&quot;CHF&quot;\ #,##0.00"/>
  </numFmts>
  <fonts count="9" x14ac:knownFonts="1">
    <font>
      <sz val="11"/>
      <color rgb="FF000000"/>
      <name val="Calibri"/>
      <family val="2"/>
      <charset val="1"/>
    </font>
    <font>
      <sz val="11"/>
      <color rgb="FF9C6500"/>
      <name val="Calibri"/>
      <family val="2"/>
      <charset val="1"/>
    </font>
    <font>
      <b/>
      <sz val="11"/>
      <color rgb="FF000000"/>
      <name val="Calibri"/>
      <family val="2"/>
      <charset val="1"/>
    </font>
    <font>
      <b/>
      <sz val="16"/>
      <color rgb="FF000000"/>
      <name val="Calibri"/>
      <family val="2"/>
      <charset val="1"/>
    </font>
    <font>
      <sz val="11"/>
      <color rgb="FF000000"/>
      <name val="Calibri"/>
      <family val="2"/>
      <charset val="1"/>
    </font>
    <font>
      <b/>
      <sz val="16"/>
      <name val="Calibri"/>
      <family val="2"/>
    </font>
    <font>
      <sz val="11"/>
      <color rgb="FF000000"/>
      <name val="Calibri"/>
      <family val="2"/>
    </font>
    <font>
      <sz val="11"/>
      <name val="Calibri"/>
      <family val="2"/>
    </font>
    <font>
      <b/>
      <sz val="11"/>
      <name val="Calibri"/>
      <family val="2"/>
    </font>
  </fonts>
  <fills count="5">
    <fill>
      <patternFill patternType="none"/>
    </fill>
    <fill>
      <patternFill patternType="gray125"/>
    </fill>
    <fill>
      <patternFill patternType="solid">
        <fgColor rgb="FFFFEB9C"/>
        <bgColor rgb="FFFFFFCC"/>
      </patternFill>
    </fill>
    <fill>
      <patternFill patternType="solid">
        <fgColor rgb="FFC6D9F1"/>
        <bgColor rgb="FFC0C0C0"/>
      </patternFill>
    </fill>
    <fill>
      <patternFill patternType="solid">
        <fgColor rgb="FFF2F2F2"/>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9">
    <xf numFmtId="0" fontId="0" fillId="0" borderId="0"/>
    <xf numFmtId="0" fontId="1" fillId="2" borderId="0" applyBorder="0" applyProtection="0"/>
    <xf numFmtId="0" fontId="4" fillId="0" borderId="0" applyBorder="0" applyProtection="0">
      <alignment horizontal="left"/>
    </xf>
    <xf numFmtId="0" fontId="4" fillId="0" borderId="0" applyBorder="0" applyProtection="0"/>
    <xf numFmtId="0" fontId="4" fillId="0" borderId="0" applyBorder="0" applyProtection="0"/>
    <xf numFmtId="0" fontId="2" fillId="0" borderId="0" applyBorder="0" applyProtection="0"/>
    <xf numFmtId="0" fontId="2" fillId="0" borderId="0" applyBorder="0" applyProtection="0">
      <alignment horizontal="left"/>
    </xf>
    <xf numFmtId="0" fontId="4" fillId="0" borderId="0" applyBorder="0" applyProtection="0"/>
    <xf numFmtId="0" fontId="4" fillId="0" borderId="0"/>
  </cellStyleXfs>
  <cellXfs count="38">
    <xf numFmtId="0" fontId="0" fillId="0" borderId="0" xfId="0"/>
    <xf numFmtId="22" fontId="0" fillId="0" borderId="0" xfId="0" applyNumberFormat="1"/>
    <xf numFmtId="10" fontId="0" fillId="0" borderId="0" xfId="0" applyNumberFormat="1"/>
    <xf numFmtId="164" fontId="0" fillId="0" borderId="0" xfId="0" applyNumberFormat="1"/>
    <xf numFmtId="0" fontId="0" fillId="0" borderId="0" xfId="0" applyAlignment="1">
      <alignment horizontal="center"/>
    </xf>
    <xf numFmtId="0" fontId="3" fillId="0" borderId="0" xfId="0" applyFont="1"/>
    <xf numFmtId="0" fontId="2" fillId="0" borderId="0" xfId="0" applyFont="1"/>
    <xf numFmtId="0" fontId="0" fillId="4" borderId="1" xfId="0" applyFill="1" applyBorder="1" applyAlignment="1">
      <alignment horizontal="left" vertical="top"/>
    </xf>
    <xf numFmtId="22" fontId="0" fillId="4" borderId="1" xfId="0" applyNumberFormat="1" applyFill="1" applyBorder="1" applyAlignment="1">
      <alignment horizontal="left" vertical="top"/>
    </xf>
    <xf numFmtId="10" fontId="0" fillId="4" borderId="1" xfId="0" applyNumberFormat="1" applyFill="1" applyBorder="1" applyAlignment="1">
      <alignment horizontal="left" vertical="top"/>
    </xf>
    <xf numFmtId="164" fontId="0" fillId="4" borderId="1" xfId="0" applyNumberFormat="1" applyFill="1" applyBorder="1" applyAlignment="1">
      <alignment horizontal="left" vertical="top"/>
    </xf>
    <xf numFmtId="0" fontId="0" fillId="4" borderId="1" xfId="0" applyFill="1" applyBorder="1" applyAlignment="1">
      <alignment horizontal="left" vertical="top" wrapText="1"/>
    </xf>
    <xf numFmtId="0" fontId="0" fillId="0" borderId="0" xfId="0" applyAlignment="1">
      <alignment horizontal="left"/>
    </xf>
    <xf numFmtId="0" fontId="0" fillId="0" borderId="1" xfId="0" applyBorder="1"/>
    <xf numFmtId="22" fontId="0" fillId="0" borderId="1" xfId="0" applyNumberFormat="1" applyBorder="1"/>
    <xf numFmtId="10" fontId="0" fillId="0" borderId="1" xfId="0" applyNumberFormat="1" applyBorder="1"/>
    <xf numFmtId="164" fontId="0" fillId="0" borderId="1" xfId="0" applyNumberFormat="1" applyBorder="1"/>
    <xf numFmtId="0" fontId="0" fillId="0" borderId="1" xfId="0" applyBorder="1" applyAlignment="1">
      <alignment horizontal="center"/>
    </xf>
    <xf numFmtId="14" fontId="3" fillId="0" borderId="0" xfId="0" applyNumberFormat="1" applyFont="1"/>
    <xf numFmtId="14" fontId="2" fillId="0" borderId="0" xfId="0" applyNumberFormat="1" applyFont="1"/>
    <xf numFmtId="14" fontId="0" fillId="4" borderId="1" xfId="0" applyNumberFormat="1" applyFill="1" applyBorder="1" applyAlignment="1">
      <alignment horizontal="left" vertical="top"/>
    </xf>
    <xf numFmtId="14" fontId="0" fillId="0" borderId="1" xfId="0" applyNumberFormat="1" applyBorder="1"/>
    <xf numFmtId="14" fontId="0" fillId="0" borderId="0" xfId="0" applyNumberFormat="1"/>
    <xf numFmtId="0" fontId="0" fillId="0" borderId="0" xfId="0" pivotButton="1"/>
    <xf numFmtId="0" fontId="0" fillId="0" borderId="0" xfId="0" applyAlignment="1">
      <alignment horizontal="left" indent="1"/>
    </xf>
    <xf numFmtId="0" fontId="0" fillId="0" borderId="0" xfId="0" applyAlignment="1">
      <alignment horizontal="left" indent="2"/>
    </xf>
    <xf numFmtId="0" fontId="0" fillId="0" borderId="0" xfId="0" applyAlignment="1">
      <alignment wrapText="1"/>
    </xf>
    <xf numFmtId="0" fontId="0" fillId="0" borderId="0" xfId="0" pivotButton="1" applyAlignment="1">
      <alignment wrapText="1"/>
    </xf>
    <xf numFmtId="0" fontId="5" fillId="0" borderId="0" xfId="0" applyFont="1"/>
    <xf numFmtId="0" fontId="8" fillId="0" borderId="0" xfId="0" applyFont="1"/>
    <xf numFmtId="0" fontId="7" fillId="0" borderId="0" xfId="0" applyFont="1" applyAlignment="1">
      <alignment wrapText="1"/>
    </xf>
    <xf numFmtId="0" fontId="8" fillId="0" borderId="0" xfId="0" applyFont="1" applyAlignment="1">
      <alignment wrapText="1"/>
    </xf>
    <xf numFmtId="0" fontId="0" fillId="0" borderId="0" xfId="0" applyAlignment="1">
      <alignment horizontal="left" wrapText="1"/>
    </xf>
    <xf numFmtId="0" fontId="7" fillId="0" borderId="0" xfId="0" applyFont="1"/>
    <xf numFmtId="0" fontId="6" fillId="0" borderId="0" xfId="0" applyFont="1" applyAlignment="1">
      <alignment wrapText="1"/>
    </xf>
    <xf numFmtId="0" fontId="0" fillId="0" borderId="0" xfId="0" applyAlignment="1">
      <alignment horizontal="left" indent="3"/>
    </xf>
    <xf numFmtId="165" fontId="0" fillId="0" borderId="0" xfId="0" applyNumberFormat="1" applyAlignment="1">
      <alignment wrapText="1"/>
    </xf>
    <xf numFmtId="14" fontId="0" fillId="3" borderId="1" xfId="0" applyNumberFormat="1" applyFill="1" applyBorder="1" applyAlignment="1">
      <alignment horizontal="left"/>
    </xf>
  </cellXfs>
  <cellStyles count="9">
    <cellStyle name="Neutral 2" xfId="1" xr:uid="{00000000-0005-0000-0000-000006000000}"/>
    <cellStyle name="Normal" xfId="0" builtinId="0"/>
    <cellStyle name="Pivot Table Category" xfId="2" xr:uid="{00000000-0005-0000-0000-000007000000}"/>
    <cellStyle name="Pivot Table Corner" xfId="3" xr:uid="{00000000-0005-0000-0000-000008000000}"/>
    <cellStyle name="Pivot Table Field" xfId="4" xr:uid="{00000000-0005-0000-0000-000009000000}"/>
    <cellStyle name="Pivot Table Result" xfId="5" xr:uid="{00000000-0005-0000-0000-00000A000000}"/>
    <cellStyle name="Pivot Table Title" xfId="6" xr:uid="{00000000-0005-0000-0000-00000B000000}"/>
    <cellStyle name="Pivot Table Value" xfId="7" xr:uid="{00000000-0005-0000-0000-00000C000000}"/>
    <cellStyle name="Standard 2" xfId="8" xr:uid="{00000000-0005-0000-0000-00000D000000}"/>
  </cellStyles>
  <dxfs count="119">
    <dxf>
      <numFmt numFmtId="165" formatCode="&quot;CHF&quot;\ #,##0.00"/>
    </dxf>
    <dxf>
      <numFmt numFmtId="165" formatCode="&quot;CHF&quot;\ #,##0.00"/>
    </dxf>
    <dxf>
      <alignment wrapText="1"/>
    </dxf>
    <dxf>
      <alignment wrapText="1"/>
    </dxf>
    <dxf>
      <alignment wrapText="1"/>
    </dxf>
    <dxf>
      <alignment wrapText="1"/>
    </dxf>
    <dxf>
      <alignment wrapText="1"/>
    </dxf>
    <dxf>
      <alignment wrapText="1"/>
    </dxf>
    <dxf>
      <alignment wrapText="1"/>
    </dxf>
    <dxf>
      <alignment wrapText="1"/>
    </dxf>
    <dxf>
      <numFmt numFmtId="165" formatCode="&quot;CHF&quot;\ #,##0.00"/>
    </dxf>
    <dxf>
      <numFmt numFmtId="165" formatCode="&quot;CHF&quot;\ #,##0.0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numFmt numFmtId="165" formatCode="&quot;CHF&quot;\ #,##0.00"/>
    </dxf>
    <dxf>
      <numFmt numFmtId="165" formatCode="&quot;CHF&quot;\ #,##0.00"/>
    </dxf>
    <dxf>
      <font>
        <color rgb="FFFF0000"/>
      </font>
    </dxf>
    <dxf>
      <font>
        <color rgb="FFFF0000"/>
      </font>
    </dxf>
    <dxf>
      <alignment wrapText="1"/>
    </dxf>
    <dxf>
      <alignment wrapText="1"/>
    </dxf>
    <dxf>
      <alignment wrapText="1"/>
    </dxf>
    <dxf>
      <alignment wrapText="1"/>
    </dxf>
    <dxf>
      <alignment wrapText="1"/>
    </dxf>
    <dxf>
      <alignment wrapText="1"/>
    </dxf>
    <dxf>
      <alignment wrapText="1"/>
    </dxf>
    <dxf>
      <alignment wrapText="1"/>
    </dxf>
    <dxf>
      <numFmt numFmtId="165" formatCode="&quot;CHF&quot;\ #,##0.00"/>
    </dxf>
    <dxf>
      <numFmt numFmtId="165" formatCode="&quot;CHF&quot;\ #,##0.0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numFmt numFmtId="165" formatCode="&quot;CHF&quot;\ #,##0.00"/>
    </dxf>
    <dxf>
      <numFmt numFmtId="165" formatCode="&quot;CHF&quot;\ #,##0.00"/>
    </dxf>
    <dxf>
      <alignment wrapText="1"/>
    </dxf>
    <dxf>
      <alignment wrapText="1"/>
    </dxf>
    <dxf>
      <alignment wrapText="1"/>
    </dxf>
    <dxf>
      <alignment wrapText="1"/>
    </dxf>
    <dxf>
      <alignment wrapText="1"/>
    </dxf>
    <dxf>
      <alignment wrapText="1"/>
    </dxf>
    <dxf>
      <alignment wrapText="1"/>
    </dxf>
    <dxf>
      <alignment wrapText="1"/>
    </dxf>
    <dxf>
      <numFmt numFmtId="165" formatCode="&quot;CHF&quot;\ #,##0.00"/>
    </dxf>
    <dxf>
      <numFmt numFmtId="165" formatCode="&quot;CHF&quot;\ #,##0.0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numFmt numFmtId="165" formatCode="&quot;CHF&quot;\ #,##0.00"/>
    </dxf>
    <dxf>
      <numFmt numFmtId="165" formatCode="&quot;CHF&quot;\ #,##0.00"/>
    </dxf>
    <dxf>
      <alignment wrapText="1"/>
    </dxf>
    <dxf>
      <alignment wrapText="1"/>
    </dxf>
    <dxf>
      <alignment wrapText="1"/>
    </dxf>
    <dxf>
      <alignment wrapText="1"/>
    </dxf>
    <dxf>
      <alignment wrapText="1"/>
    </dxf>
    <dxf>
      <alignment wrapText="1"/>
    </dxf>
    <dxf>
      <alignment wrapText="1"/>
    </dxf>
    <dxf>
      <alignment wrapText="1"/>
    </dxf>
    <dxf>
      <numFmt numFmtId="165" formatCode="&quot;CHF&quot;\ #,##0.00"/>
    </dxf>
    <dxf>
      <numFmt numFmtId="165" formatCode="&quot;CHF&quot;\ #,##0.0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numFmt numFmtId="165" formatCode="&quot;CHF&quot;\ #,##0.00"/>
    </dxf>
    <dxf>
      <numFmt numFmtId="165" formatCode="&quot;CHF&quot;\ #,##0.00"/>
    </dxf>
    <dxf>
      <alignment wrapText="1"/>
    </dxf>
    <dxf>
      <alignment wrapText="1"/>
    </dxf>
    <dxf>
      <alignment wrapText="1"/>
    </dxf>
    <dxf>
      <alignment wrapText="1"/>
    </dxf>
    <dxf>
      <alignment wrapText="1"/>
    </dxf>
    <dxf>
      <alignment wrapText="1"/>
    </dxf>
    <dxf>
      <alignment wrapText="1"/>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s>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9C65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ell Frédéric" refreshedDate="46092.519869212963" createdVersion="3" refreshedVersion="8" recordCount="4" xr:uid="{00000000-000A-0000-FFFF-FFFF01000000}">
  <cacheSource type="worksheet">
    <worksheetSource ref="A12:V1048576" sheet="Data"/>
  </cacheSource>
  <cacheFields count="22">
    <cacheField name="Titel Zahlungslauf" numFmtId="0">
      <sharedItems containsBlank="1"/>
    </cacheField>
    <cacheField name="Fälligkeitsdatum" numFmtId="14">
      <sharedItems containsBlank="1"/>
    </cacheField>
    <cacheField name="Gemeinde" numFmtId="0">
      <sharedItems containsBlank="1" count="2">
        <s v="{gemeinde}"/>
        <m/>
      </sharedItems>
    </cacheField>
    <cacheField name="Institution" numFmtId="0">
      <sharedItems containsBlank="1" count="2">
        <s v="{institution}"/>
        <m/>
      </sharedItems>
    </cacheField>
    <cacheField name="Erstellungsdatum Zahlungslauf" numFmtId="22">
      <sharedItems containsBlank="1"/>
    </cacheField>
    <cacheField name="Kind Nachname" numFmtId="0">
      <sharedItems containsBlank="1"/>
    </cacheField>
    <cacheField name="Kind Vorname" numFmtId="0">
      <sharedItems containsBlank="1"/>
    </cacheField>
    <cacheField name="Nachname, Vorname" numFmtId="0">
      <sharedItems containsBlank="1" count="2">
        <s v="{kindNachname} {kindVorname}"/>
        <m/>
      </sharedItems>
    </cacheField>
    <cacheField name="Referenznummer" numFmtId="0">
      <sharedItems containsBlank="1" count="2">
        <s v="{referenznummer}"/>
        <m/>
      </sharedItems>
    </cacheField>
    <cacheField name="von" numFmtId="14">
      <sharedItems containsBlank="1"/>
    </cacheField>
    <cacheField name="Monat" numFmtId="14">
      <sharedItems containsBlank="1" count="2">
        <s v="{zeitabschnittVon}"/>
        <m/>
      </sharedItems>
    </cacheField>
    <cacheField name="Jahr" numFmtId="0">
      <sharedItems containsBlank="1" count="3">
        <e v="#VALUE!"/>
        <m/>
        <s v="{zeitabschnittVon}" u="1"/>
      </sharedItems>
    </cacheField>
    <cacheField name="bis" numFmtId="14">
      <sharedItems containsBlank="1"/>
    </cacheField>
    <cacheField name="BG-Pensum" numFmtId="10">
      <sharedItems containsBlank="1"/>
    </cacheField>
    <cacheField name="Betrag in CHF" numFmtId="164">
      <sharedItems containsBlank="1"/>
    </cacheField>
    <cacheField name="Korrektur" numFmtId="0">
      <sharedItems containsBlank="1"/>
    </cacheField>
    <cacheField name="In Zahlungslauf ignorieren" numFmtId="0">
      <sharedItems containsBlank="1"/>
    </cacheField>
    <cacheField name="IBAN Eltern" numFmtId="0">
      <sharedItems containsBlank="1"/>
    </cacheField>
    <cacheField name="Kontoname Eltern" numFmtId="0">
      <sharedItems containsBlank="1"/>
    </cacheField>
    <cacheField name="Nicht leer" numFmtId="0">
      <sharedItems containsBlank="1" count="3">
        <s v="x"/>
        <m/>
        <s v="" u="1"/>
      </sharedItems>
    </cacheField>
    <cacheField name="Auszahlung an (für Kind Pivot)" numFmtId="0">
      <sharedItems containsBlank="1" count="4">
        <s v="Abrechnung direkt zwischen Gemeinde &amp; Antragstellenden"/>
        <m/>
        <s v="Auszahlung an Institution" u="1"/>
        <e v="#REF!" u="1"/>
      </sharedItems>
    </cacheField>
    <cacheField name="Auszahlung an (für Gemeinde Pivot)" numFmtId="0">
      <sharedItems containsBlank="1" count="3">
        <s v="Abrechnung direkt zwischen Gemeinde &amp; Antragstellenden"/>
        <m/>
        <s v="Auszahlung an Institution"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zahlungslaufTitle}"/>
    <s v="{faelligkeitsDatum}"/>
    <x v="0"/>
    <x v="0"/>
    <s v="{timestampZahlungslauf}"/>
    <s v="{kindNachname}"/>
    <s v="{kindVorname}"/>
    <x v="0"/>
    <x v="0"/>
    <s v="{zeitabschnittVon}"/>
    <x v="0"/>
    <x v="0"/>
    <s v="{zeitabschnittBis}"/>
    <s v="{bgPensum}"/>
    <s v="{betrag}"/>
    <s v="{korrektur}"/>
    <s v="x"/>
    <s v="{ibanEltern}"/>
    <s v="{kontoEltern}"/>
    <x v="0"/>
    <x v="0"/>
    <x v="0"/>
  </r>
  <r>
    <m/>
    <m/>
    <x v="1"/>
    <x v="1"/>
    <m/>
    <m/>
    <m/>
    <x v="1"/>
    <x v="1"/>
    <m/>
    <x v="1"/>
    <x v="1"/>
    <m/>
    <m/>
    <m/>
    <m/>
    <m/>
    <m/>
    <m/>
    <x v="1"/>
    <x v="1"/>
    <x v="1"/>
  </r>
  <r>
    <m/>
    <m/>
    <x v="1"/>
    <x v="1"/>
    <m/>
    <m/>
    <m/>
    <x v="1"/>
    <x v="1"/>
    <m/>
    <x v="1"/>
    <x v="1"/>
    <m/>
    <m/>
    <m/>
    <m/>
    <m/>
    <m/>
    <m/>
    <x v="1"/>
    <x v="1"/>
    <x v="1"/>
  </r>
  <r>
    <m/>
    <m/>
    <x v="1"/>
    <x v="1"/>
    <m/>
    <m/>
    <m/>
    <x v="1"/>
    <x v="1"/>
    <m/>
    <x v="1"/>
    <x v="1"/>
    <m/>
    <m/>
    <m/>
    <m/>
    <m/>
    <m/>
    <m/>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60" applyNumberFormats="0" applyBorderFormats="0" applyFontFormats="0" applyPatternFormats="0" applyAlignmentFormats="0" applyWidthHeightFormats="0" dataCaption="Values" grandTotalCaption="Verfügte Betreuungsgutscheine" updatedVersion="8" itemPrintTitles="1" indent="0" outline="1" outlineData="1" rowHeaderCaption="Filter">
  <location ref="A8:C16" firstHeaderRow="1" firstDataRow="2" firstDataCol="1" rowPageCount="1" colPageCount="1"/>
  <pivotFields count="22">
    <pivotField showAll="0"/>
    <pivotField showAll="0"/>
    <pivotField axis="axisRow" showAll="0">
      <items count="3">
        <item x="0"/>
        <item x="1"/>
        <item t="default"/>
      </items>
    </pivotField>
    <pivotField axis="axisRow" showAll="0">
      <items count="3">
        <item x="0"/>
        <item x="1"/>
        <item t="default"/>
      </items>
    </pivotField>
    <pivotField showAll="0"/>
    <pivotField showAll="0"/>
    <pivotField showAll="0"/>
    <pivotField axis="axisRow" showAll="0" includeNewItemsInFilter="1">
      <items count="3">
        <item x="0"/>
        <item x="1"/>
        <item t="default"/>
      </items>
    </pivotField>
    <pivotField axis="axisRow" showAll="0">
      <items count="3">
        <item x="0"/>
        <item x="1"/>
        <item t="default"/>
      </items>
    </pivotField>
    <pivotField showAll="0"/>
    <pivotField axis="axisRow" showAll="0" includeNewItemsInFilter="1" sortType="ascending">
      <items count="3">
        <item x="0"/>
        <item x="1"/>
        <item t="default"/>
      </items>
    </pivotField>
    <pivotField axis="axisRow" showAll="0" includeNewItemsInFilter="1">
      <items count="4">
        <item m="1" x="2"/>
        <item x="1"/>
        <item x="0"/>
        <item t="default"/>
      </items>
    </pivotField>
    <pivotField showAll="0"/>
    <pivotField showAll="0"/>
    <pivotField dataField="1" showAll="0"/>
    <pivotField showAll="0"/>
    <pivotField showAll="0"/>
    <pivotField showAll="0"/>
    <pivotField showAll="0"/>
    <pivotField axis="axisPage" multipleItemSelectionAllowed="1" showAll="0">
      <items count="4">
        <item x="0"/>
        <item h="1" x="1"/>
        <item h="1" m="1" x="2"/>
        <item t="default"/>
      </items>
    </pivotField>
    <pivotField axis="axisCol" showAll="0" includeNewItemsInFilter="1">
      <items count="5">
        <item m="1" x="3"/>
        <item x="1"/>
        <item m="1" x="2"/>
        <item x="0"/>
        <item t="default"/>
      </items>
    </pivotField>
    <pivotField showAll="0" includeNewItemsInFilter="1"/>
  </pivotFields>
  <rowFields count="6">
    <field x="2"/>
    <field x="3"/>
    <field x="7"/>
    <field x="8"/>
    <field x="11"/>
    <field x="10"/>
  </rowFields>
  <rowItems count="7">
    <i>
      <x/>
    </i>
    <i r="1">
      <x/>
    </i>
    <i r="2">
      <x/>
    </i>
    <i r="3">
      <x/>
    </i>
    <i r="4">
      <x v="2"/>
    </i>
    <i r="5">
      <x/>
    </i>
    <i t="grand">
      <x/>
    </i>
  </rowItems>
  <colFields count="1">
    <field x="20"/>
  </colFields>
  <colItems count="2">
    <i>
      <x v="3"/>
    </i>
    <i t="grand">
      <x/>
    </i>
  </colItems>
  <pageFields count="1">
    <pageField fld="19" hier="-1"/>
  </pageFields>
  <dataFields count="1">
    <dataField name="Summe von Betrag in CHF" fld="14" baseField="2" baseItem="0"/>
  </dataFields>
  <formats count="15">
    <format dxfId="38">
      <pivotArea type="all" dataOnly="0" outline="0" fieldPosition="0"/>
    </format>
    <format dxfId="39">
      <pivotArea outline="0" fieldPosition="0"/>
    </format>
    <format dxfId="40">
      <pivotArea type="origin" dataOnly="0" labelOnly="1" outline="0" fieldPosition="0"/>
    </format>
    <format dxfId="41">
      <pivotArea type="topRight" dataOnly="0" labelOnly="1" outline="0" fieldPosition="0"/>
    </format>
    <format dxfId="42">
      <pivotArea field="2" type="button" dataOnly="0" labelOnly="1" outline="0" axis="axisRow" fieldPosition="0"/>
    </format>
    <format dxfId="43">
      <pivotArea dataOnly="0" labelOnly="1" grandCol="1" outline="0" fieldPosition="0"/>
    </format>
    <format dxfId="44">
      <pivotArea outline="0" fieldPosition="0"/>
    </format>
    <format dxfId="45">
      <pivotArea dataOnly="0" labelOnly="1" outline="0" fieldPosition="0">
        <references count="1">
          <reference field="19" count="0"/>
        </references>
      </pivotArea>
    </format>
    <format dxfId="46">
      <pivotArea field="20" type="button" dataOnly="0" labelOnly="1" outline="0" axis="axisCol" fieldPosition="0"/>
    </format>
    <format dxfId="47">
      <pivotArea type="topRight" dataOnly="0" labelOnly="1" outline="0" fieldPosition="0"/>
    </format>
    <format dxfId="48">
      <pivotArea dataOnly="0" labelOnly="1" fieldPosition="0">
        <references count="1">
          <reference field="20" count="1">
            <x v="2"/>
          </reference>
        </references>
      </pivotArea>
    </format>
    <format dxfId="49">
      <pivotArea dataOnly="0" labelOnly="1" grandCol="1" outline="0" fieldPosition="0"/>
    </format>
    <format dxfId="50">
      <pivotArea outline="0" fieldPosition="0">
        <references count="1">
          <reference field="20" count="1" selected="0">
            <x v="2"/>
          </reference>
        </references>
      </pivotArea>
    </format>
    <format dxfId="51">
      <pivotArea grandCol="1" outline="0" fieldPosition="0"/>
    </format>
    <format dxfId="1">
      <pivotArea outline="0" fieldPosition="0">
        <references count="1">
          <reference field="20" count="1" selected="0">
            <x v="3"/>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DataPilot1" cacheId="60" applyNumberFormats="0" applyBorderFormats="0" applyFontFormats="0" applyPatternFormats="0" applyAlignmentFormats="0" applyWidthHeightFormats="0" dataCaption="Values" grandTotalCaption="Verfügte Betreuungsgutscheine" updatedVersion="8" itemPrintTitles="1" indent="0" outline="1" outlineData="1" rowHeaderCaption="Filter">
  <location ref="A9:C15" firstHeaderRow="1" firstDataRow="2" firstDataCol="1" rowPageCount="1" colPageCount="1"/>
  <pivotFields count="22">
    <pivotField showAll="0"/>
    <pivotField showAll="0"/>
    <pivotField axis="axisRow" showAll="0">
      <items count="3">
        <item x="0"/>
        <item x="1"/>
        <item t="default"/>
      </items>
    </pivotField>
    <pivotField axis="axisRow" showAll="0">
      <items count="3">
        <item x="0"/>
        <item x="1"/>
        <item t="default"/>
      </items>
    </pivotField>
    <pivotField showAll="0"/>
    <pivotField showAll="0"/>
    <pivotField showAll="0"/>
    <pivotField showAll="0" includeNewItemsInFilter="1"/>
    <pivotField showAll="0"/>
    <pivotField showAll="0"/>
    <pivotField axis="axisRow" showAll="0" includeNewItemsInFilter="1">
      <items count="3">
        <item x="0"/>
        <item x="1"/>
        <item t="default"/>
      </items>
    </pivotField>
    <pivotField axis="axisRow" showAll="0" includeNewItemsInFilter="1">
      <items count="4">
        <item m="1" x="2"/>
        <item x="1"/>
        <item x="0"/>
        <item t="default"/>
      </items>
    </pivotField>
    <pivotField showAll="0"/>
    <pivotField showAll="0"/>
    <pivotField dataField="1" showAll="0"/>
    <pivotField showAll="0"/>
    <pivotField showAll="0"/>
    <pivotField showAll="0"/>
    <pivotField showAll="0"/>
    <pivotField axis="axisPage" showAll="0">
      <items count="4">
        <item x="0"/>
        <item h="1" x="1"/>
        <item h="1" m="1" x="2"/>
        <item t="default"/>
      </items>
    </pivotField>
    <pivotField showAll="0" includeNewItemsInFilter="1"/>
    <pivotField axis="axisCol" showAll="0" includeNewItemsInFilter="1">
      <items count="4">
        <item m="1" x="2"/>
        <item x="1"/>
        <item x="0"/>
        <item t="default"/>
      </items>
    </pivotField>
  </pivotFields>
  <rowFields count="4">
    <field x="2"/>
    <field x="3"/>
    <field x="11"/>
    <field x="10"/>
  </rowFields>
  <rowItems count="5">
    <i>
      <x/>
    </i>
    <i r="1">
      <x/>
    </i>
    <i r="2">
      <x v="2"/>
    </i>
    <i r="3">
      <x/>
    </i>
    <i t="grand">
      <x/>
    </i>
  </rowItems>
  <colFields count="1">
    <field x="21"/>
  </colFields>
  <colItems count="2">
    <i>
      <x v="2"/>
    </i>
    <i t="grand">
      <x/>
    </i>
  </colItems>
  <pageFields count="1">
    <pageField fld="19" hier="-1"/>
  </pageFields>
  <dataFields count="1">
    <dataField name="Summe von Betrag in CHF" fld="14" baseField="2" baseItem="0"/>
  </dataFields>
  <formats count="11">
    <format dxfId="28">
      <pivotArea outline="0" fieldPosition="0"/>
    </format>
    <format dxfId="29">
      <pivotArea dataOnly="0" labelOnly="1" outline="0" fieldPosition="0">
        <references count="1">
          <reference field="19" count="0"/>
        </references>
      </pivotArea>
    </format>
    <format dxfId="30">
      <pivotArea field="21" type="button" dataOnly="0" labelOnly="1" outline="0" axis="axisCol" fieldPosition="0"/>
    </format>
    <format dxfId="31">
      <pivotArea type="topRight" dataOnly="0" labelOnly="1" outline="0" fieldPosition="0"/>
    </format>
    <format dxfId="32">
      <pivotArea dataOnly="0" labelOnly="1" fieldPosition="0">
        <references count="1">
          <reference field="21" count="1">
            <x v="0"/>
          </reference>
        </references>
      </pivotArea>
    </format>
    <format dxfId="33">
      <pivotArea dataOnly="0" labelOnly="1" grandCol="1" outline="0" fieldPosition="0"/>
    </format>
    <format dxfId="34">
      <pivotArea dataOnly="0" labelOnly="1" fieldPosition="0">
        <references count="1">
          <reference field="21" count="1">
            <x v="2"/>
          </reference>
        </references>
      </pivotArea>
    </format>
    <format dxfId="35">
      <pivotArea dataOnly="0" labelOnly="1" grandRow="1" fieldPosition="0"/>
    </format>
    <format dxfId="36">
      <pivotArea outline="0" fieldPosition="0">
        <references count="1">
          <reference field="21" count="1" selected="0">
            <x v="0"/>
          </reference>
        </references>
      </pivotArea>
    </format>
    <format dxfId="37">
      <pivotArea grandCol="1" outline="0" fieldPosition="0"/>
    </format>
    <format dxfId="0">
      <pivotArea outline="0" fieldPosition="0">
        <references count="1">
          <reference field="21" count="1" selected="0">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
  <sheetViews>
    <sheetView zoomScaleNormal="100" workbookViewId="0">
      <selection activeCell="D21" sqref="D21"/>
    </sheetView>
  </sheetViews>
  <sheetFormatPr baseColWidth="10" defaultColWidth="11.5" defaultRowHeight="15" x14ac:dyDescent="0.2"/>
  <cols>
    <col min="1" max="1" width="21.1640625" customWidth="1"/>
    <col min="2" max="2" width="21.1640625" style="22" customWidth="1"/>
    <col min="3" max="4" width="21.1640625" customWidth="1"/>
    <col min="5" max="5" width="30.83203125" style="1" customWidth="1"/>
    <col min="6" max="7" width="30.83203125" customWidth="1"/>
    <col min="8" max="8" width="14.1640625" hidden="1" customWidth="1"/>
    <col min="9" max="9" width="21.1640625" customWidth="1"/>
    <col min="10" max="10" width="19.5" style="22" customWidth="1"/>
    <col min="11" max="11" width="11.1640625" style="22" hidden="1" customWidth="1"/>
    <col min="12" max="12" width="13.6640625" style="22" hidden="1" customWidth="1"/>
    <col min="13" max="13" width="19.5" style="22" customWidth="1"/>
    <col min="14" max="14" width="19.5" style="2" customWidth="1"/>
    <col min="15" max="15" width="16.5" style="3" customWidth="1"/>
    <col min="16" max="16" width="11.5" style="4"/>
    <col min="17" max="17" width="18.83203125" style="4" customWidth="1"/>
    <col min="18" max="18" width="23.33203125" customWidth="1"/>
    <col min="19" max="19" width="19.33203125" customWidth="1"/>
    <col min="20" max="21" width="21.1640625" hidden="1" customWidth="1"/>
    <col min="22" max="22" width="23.5" style="4" hidden="1" customWidth="1"/>
    <col min="23" max="23" width="12.1640625" bestFit="1" customWidth="1"/>
  </cols>
  <sheetData>
    <row r="1" spans="1:23" ht="21" x14ac:dyDescent="0.25">
      <c r="A1" s="5" t="s">
        <v>0</v>
      </c>
      <c r="B1" s="18"/>
    </row>
    <row r="3" spans="1:23" x14ac:dyDescent="0.2">
      <c r="A3" s="6"/>
      <c r="B3" s="19"/>
      <c r="T3" s="6"/>
      <c r="U3" s="6"/>
    </row>
    <row r="4" spans="1:23" x14ac:dyDescent="0.2">
      <c r="A4" t="s">
        <v>1</v>
      </c>
      <c r="B4" s="37" t="s">
        <v>2</v>
      </c>
    </row>
    <row r="5" spans="1:23" x14ac:dyDescent="0.2">
      <c r="A5" t="s">
        <v>3</v>
      </c>
      <c r="B5" s="37" t="s">
        <v>4</v>
      </c>
    </row>
    <row r="6" spans="1:23" x14ac:dyDescent="0.2">
      <c r="A6" t="s">
        <v>5</v>
      </c>
      <c r="B6" s="37" t="s">
        <v>6</v>
      </c>
    </row>
    <row r="7" spans="1:23" x14ac:dyDescent="0.2">
      <c r="A7" t="s">
        <v>7</v>
      </c>
      <c r="B7" s="37" t="s">
        <v>8</v>
      </c>
    </row>
    <row r="8" spans="1:23" x14ac:dyDescent="0.2">
      <c r="A8" t="s">
        <v>54</v>
      </c>
      <c r="B8" s="37" t="s">
        <v>57</v>
      </c>
    </row>
    <row r="9" spans="1:23" x14ac:dyDescent="0.2">
      <c r="A9" t="s">
        <v>55</v>
      </c>
      <c r="B9" s="37" t="s">
        <v>56</v>
      </c>
    </row>
    <row r="12" spans="1:23" s="12" customFormat="1" ht="32" x14ac:dyDescent="0.2">
      <c r="A12" s="7" t="s">
        <v>9</v>
      </c>
      <c r="B12" s="20" t="s">
        <v>10</v>
      </c>
      <c r="C12" s="7" t="s">
        <v>3</v>
      </c>
      <c r="D12" s="7" t="s">
        <v>5</v>
      </c>
      <c r="E12" s="8" t="s">
        <v>11</v>
      </c>
      <c r="F12" s="7" t="s">
        <v>12</v>
      </c>
      <c r="G12" s="7" t="s">
        <v>13</v>
      </c>
      <c r="H12" s="7" t="s">
        <v>43</v>
      </c>
      <c r="I12" s="7" t="s">
        <v>14</v>
      </c>
      <c r="J12" s="20" t="s">
        <v>15</v>
      </c>
      <c r="K12" s="20" t="s">
        <v>58</v>
      </c>
      <c r="L12" s="20" t="s">
        <v>59</v>
      </c>
      <c r="M12" s="20" t="s">
        <v>16</v>
      </c>
      <c r="N12" s="9" t="s">
        <v>17</v>
      </c>
      <c r="O12" s="10" t="s">
        <v>18</v>
      </c>
      <c r="P12" s="7" t="s">
        <v>19</v>
      </c>
      <c r="Q12" s="11" t="s">
        <v>20</v>
      </c>
      <c r="R12" s="11" t="s">
        <v>21</v>
      </c>
      <c r="S12" s="11" t="s">
        <v>22</v>
      </c>
      <c r="T12" s="7" t="s">
        <v>23</v>
      </c>
      <c r="U12" s="7" t="s">
        <v>50</v>
      </c>
      <c r="V12" s="7" t="s">
        <v>49</v>
      </c>
    </row>
    <row r="13" spans="1:23" x14ac:dyDescent="0.2">
      <c r="A13" s="13" t="s">
        <v>24</v>
      </c>
      <c r="B13" s="21" t="s">
        <v>25</v>
      </c>
      <c r="C13" s="13" t="s">
        <v>26</v>
      </c>
      <c r="D13" s="13" t="s">
        <v>27</v>
      </c>
      <c r="E13" s="14" t="s">
        <v>28</v>
      </c>
      <c r="F13" s="13" t="s">
        <v>29</v>
      </c>
      <c r="G13" s="13" t="s">
        <v>30</v>
      </c>
      <c r="H13" s="13" t="str">
        <f>CONCATENATE(F13," ",G13)</f>
        <v>{kindNachname} {kindVorname}</v>
      </c>
      <c r="I13" s="13" t="s">
        <v>31</v>
      </c>
      <c r="J13" s="21" t="s">
        <v>32</v>
      </c>
      <c r="K13" s="21" t="str">
        <f>TEXT(J13,"MMM")</f>
        <v>{zeitabschnittVon}</v>
      </c>
      <c r="L13" s="13" t="e">
        <f>YEAR(J13)</f>
        <v>#VALUE!</v>
      </c>
      <c r="M13" s="21" t="s">
        <v>33</v>
      </c>
      <c r="N13" s="15" t="s">
        <v>34</v>
      </c>
      <c r="O13" s="16" t="s">
        <v>35</v>
      </c>
      <c r="P13" s="17" t="s">
        <v>36</v>
      </c>
      <c r="Q13" s="17" t="s">
        <v>37</v>
      </c>
      <c r="R13" s="13" t="s">
        <v>38</v>
      </c>
      <c r="S13" s="13" t="s">
        <v>39</v>
      </c>
      <c r="T13" s="13" t="str">
        <f>IF(A13&lt;&gt;"","x","")</f>
        <v>x</v>
      </c>
      <c r="U13" s="13" t="str">
        <f>IF(Q13="X","Abrechnung direkt zwischen Gemeinde &amp; Antragstellenden","Auszahlung an Institution")</f>
        <v>Auszahlung an Institution</v>
      </c>
      <c r="V13" s="13" t="str">
        <f>IF(Q13="X","Abrechnung direkt zwischen Gemeinde &amp; Antragstellenden","Auszahlung an Institution")</f>
        <v>Auszahlung an Institution</v>
      </c>
      <c r="W13" t="s">
        <v>40</v>
      </c>
    </row>
  </sheetData>
  <autoFilter ref="A12:Q12" xr:uid="{00000000-0009-0000-0000-000000000000}"/>
  <sortState xmlns:xlrd2="http://schemas.microsoft.com/office/spreadsheetml/2017/richdata2" ref="A13:W13">
    <sortCondition ref="I13"/>
    <sortCondition ref="J13"/>
  </sortState>
  <conditionalFormatting sqref="A13:P13 R13:W13">
    <cfRule type="expression" dxfId="27" priority="4">
      <formula>$N13="X"</formula>
    </cfRule>
  </conditionalFormatting>
  <conditionalFormatting sqref="Q13">
    <cfRule type="expression" dxfId="26" priority="1">
      <formula>$M13="X"</formula>
    </cfRule>
  </conditionalFormatting>
  <pageMargins left="0.7" right="0.7" top="0.78749999999999998" bottom="0.78749999999999998"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tabSelected="1" zoomScaleNormal="100" workbookViewId="0">
      <selection activeCell="E26" sqref="E26"/>
    </sheetView>
  </sheetViews>
  <sheetFormatPr baseColWidth="10" defaultColWidth="11.5" defaultRowHeight="15" x14ac:dyDescent="0.2"/>
  <cols>
    <col min="1" max="1" width="26.83203125" style="26" customWidth="1"/>
    <col min="2" max="2" width="22.33203125" style="26" customWidth="1"/>
    <col min="3" max="3" width="26.83203125" style="26" customWidth="1"/>
    <col min="4" max="4" width="24.33203125" style="26" customWidth="1"/>
    <col min="5" max="5" width="13.5" style="26" customWidth="1"/>
    <col min="6" max="6" width="16.83203125" style="26" customWidth="1"/>
    <col min="7" max="7" width="13.33203125" style="26" customWidth="1"/>
    <col min="8" max="8" width="25.6640625" style="26" customWidth="1"/>
    <col min="9" max="16384" width="11.5" style="26"/>
  </cols>
  <sheetData>
    <row r="1" spans="1:5" customFormat="1" ht="21" x14ac:dyDescent="0.25">
      <c r="A1" s="28" t="s">
        <v>48</v>
      </c>
      <c r="B1" s="30"/>
      <c r="C1" s="30"/>
      <c r="D1" s="30"/>
      <c r="E1" s="33"/>
    </row>
    <row r="2" spans="1:5" customFormat="1" x14ac:dyDescent="0.2">
      <c r="A2" s="29" t="s">
        <v>51</v>
      </c>
      <c r="B2" s="30"/>
      <c r="C2" s="30"/>
      <c r="D2" s="30"/>
      <c r="E2" s="33"/>
    </row>
    <row r="3" spans="1:5" customFormat="1" x14ac:dyDescent="0.2">
      <c r="A3" s="29" t="s">
        <v>53</v>
      </c>
      <c r="B3" s="30"/>
      <c r="C3" s="30"/>
      <c r="D3" s="30"/>
      <c r="E3" s="33"/>
    </row>
    <row r="4" spans="1:5" customFormat="1" x14ac:dyDescent="0.2">
      <c r="A4" s="29" t="s">
        <v>52</v>
      </c>
      <c r="B4" s="30"/>
      <c r="C4" s="30"/>
      <c r="D4" s="30"/>
      <c r="E4" s="33"/>
    </row>
    <row r="5" spans="1:5" x14ac:dyDescent="0.2">
      <c r="A5" s="31"/>
      <c r="B5" s="30"/>
      <c r="C5" s="30"/>
      <c r="D5" s="30"/>
      <c r="E5" s="30"/>
    </row>
    <row r="6" spans="1:5" ht="16" hidden="1" x14ac:dyDescent="0.2">
      <c r="A6" s="27" t="s">
        <v>23</v>
      </c>
      <c r="B6" s="26" t="s">
        <v>42</v>
      </c>
    </row>
    <row r="8" spans="1:5" ht="16" hidden="1" x14ac:dyDescent="0.2">
      <c r="A8" s="27" t="s">
        <v>41</v>
      </c>
      <c r="B8" s="27" t="s">
        <v>60</v>
      </c>
    </row>
    <row r="9" spans="1:5" ht="49.5" customHeight="1" x14ac:dyDescent="0.2">
      <c r="A9" s="27" t="s">
        <v>46</v>
      </c>
      <c r="B9" s="26" t="s">
        <v>63</v>
      </c>
      <c r="C9" s="26" t="s">
        <v>45</v>
      </c>
    </row>
    <row r="10" spans="1:5" ht="16" x14ac:dyDescent="0.2">
      <c r="A10" s="32" t="s">
        <v>26</v>
      </c>
      <c r="B10" s="36">
        <v>0</v>
      </c>
      <c r="C10" s="36">
        <v>0</v>
      </c>
    </row>
    <row r="11" spans="1:5" ht="16" x14ac:dyDescent="0.2">
      <c r="A11" s="32" t="s">
        <v>27</v>
      </c>
      <c r="B11" s="36">
        <v>0</v>
      </c>
      <c r="C11" s="36">
        <v>0</v>
      </c>
    </row>
    <row r="12" spans="1:5" ht="32" x14ac:dyDescent="0.2">
      <c r="A12" s="32" t="s">
        <v>44</v>
      </c>
      <c r="B12" s="36">
        <v>0</v>
      </c>
      <c r="C12" s="36">
        <v>0</v>
      </c>
    </row>
    <row r="13" spans="1:5" ht="16" x14ac:dyDescent="0.2">
      <c r="A13" s="32" t="s">
        <v>31</v>
      </c>
      <c r="B13" s="36">
        <v>0</v>
      </c>
      <c r="C13" s="36">
        <v>0</v>
      </c>
    </row>
    <row r="14" spans="1:5" ht="16" x14ac:dyDescent="0.2">
      <c r="A14" s="32" t="s">
        <v>61</v>
      </c>
      <c r="B14" s="36">
        <v>0</v>
      </c>
      <c r="C14" s="36">
        <v>0</v>
      </c>
    </row>
    <row r="15" spans="1:5" ht="16" x14ac:dyDescent="0.2">
      <c r="A15" s="32" t="s">
        <v>32</v>
      </c>
      <c r="B15" s="36">
        <v>0</v>
      </c>
      <c r="C15" s="36">
        <v>0</v>
      </c>
    </row>
    <row r="16" spans="1:5" ht="16" x14ac:dyDescent="0.2">
      <c r="A16" s="32" t="s">
        <v>45</v>
      </c>
      <c r="B16" s="36">
        <v>0</v>
      </c>
      <c r="C16" s="36">
        <v>0</v>
      </c>
    </row>
  </sheetData>
  <pageMargins left="0.7" right="0.7" top="0.78749999999999998" bottom="0.78749999999999998"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
  <sheetViews>
    <sheetView zoomScaleNormal="100" workbookViewId="0">
      <selection activeCell="B11" sqref="B11:B15"/>
    </sheetView>
  </sheetViews>
  <sheetFormatPr baseColWidth="10" defaultColWidth="11.5" defaultRowHeight="15" x14ac:dyDescent="0.2"/>
  <cols>
    <col min="1" max="1" width="22.5" customWidth="1"/>
    <col min="2" max="4" width="22.83203125" style="26" customWidth="1"/>
    <col min="5" max="5" width="13.5" customWidth="1"/>
    <col min="6" max="6" width="16.83203125" customWidth="1"/>
    <col min="7" max="7" width="13.33203125" customWidth="1"/>
    <col min="8" max="8" width="25.6640625" customWidth="1"/>
  </cols>
  <sheetData>
    <row r="1" spans="1:4" ht="21" x14ac:dyDescent="0.25">
      <c r="A1" s="28" t="s">
        <v>47</v>
      </c>
      <c r="B1" s="34"/>
      <c r="C1" s="34"/>
      <c r="D1" s="34"/>
    </row>
    <row r="2" spans="1:4" x14ac:dyDescent="0.2">
      <c r="A2" s="29" t="s">
        <v>51</v>
      </c>
      <c r="B2" s="34"/>
      <c r="C2" s="34"/>
      <c r="D2" s="34"/>
    </row>
    <row r="3" spans="1:4" x14ac:dyDescent="0.2">
      <c r="A3" s="29" t="s">
        <v>53</v>
      </c>
      <c r="B3" s="34"/>
      <c r="C3" s="34"/>
      <c r="D3" s="34"/>
    </row>
    <row r="4" spans="1:4" x14ac:dyDescent="0.2">
      <c r="A4" s="29" t="s">
        <v>52</v>
      </c>
      <c r="B4" s="34"/>
      <c r="C4" s="34"/>
      <c r="D4" s="34"/>
    </row>
    <row r="5" spans="1:4" x14ac:dyDescent="0.2">
      <c r="A5" s="6"/>
    </row>
    <row r="6" spans="1:4" hidden="1" x14ac:dyDescent="0.2"/>
    <row r="7" spans="1:4" ht="16" hidden="1" x14ac:dyDescent="0.2">
      <c r="A7" s="23" t="s">
        <v>23</v>
      </c>
      <c r="B7" s="26" t="s">
        <v>62</v>
      </c>
    </row>
    <row r="8" spans="1:4" hidden="1" x14ac:dyDescent="0.2"/>
    <row r="9" spans="1:4" ht="16" hidden="1" x14ac:dyDescent="0.2">
      <c r="A9" s="23" t="s">
        <v>41</v>
      </c>
      <c r="B9" s="27" t="s">
        <v>60</v>
      </c>
    </row>
    <row r="10" spans="1:4" ht="51.75" customHeight="1" x14ac:dyDescent="0.2">
      <c r="A10" s="23" t="s">
        <v>46</v>
      </c>
      <c r="B10" s="26" t="s">
        <v>63</v>
      </c>
      <c r="C10" s="26" t="s">
        <v>45</v>
      </c>
    </row>
    <row r="11" spans="1:4" x14ac:dyDescent="0.2">
      <c r="A11" s="12" t="s">
        <v>26</v>
      </c>
      <c r="B11" s="36">
        <v>0</v>
      </c>
      <c r="C11" s="36">
        <v>0</v>
      </c>
    </row>
    <row r="12" spans="1:4" x14ac:dyDescent="0.2">
      <c r="A12" s="24" t="s">
        <v>27</v>
      </c>
      <c r="B12" s="36">
        <v>0</v>
      </c>
      <c r="C12" s="36">
        <v>0</v>
      </c>
    </row>
    <row r="13" spans="1:4" x14ac:dyDescent="0.2">
      <c r="A13" s="25" t="s">
        <v>61</v>
      </c>
      <c r="B13" s="36">
        <v>0</v>
      </c>
      <c r="C13" s="36">
        <v>0</v>
      </c>
    </row>
    <row r="14" spans="1:4" x14ac:dyDescent="0.2">
      <c r="A14" s="35" t="s">
        <v>32</v>
      </c>
      <c r="B14" s="36">
        <v>0</v>
      </c>
      <c r="C14" s="36">
        <v>0</v>
      </c>
    </row>
    <row r="15" spans="1:4" ht="32" x14ac:dyDescent="0.2">
      <c r="A15" s="32" t="s">
        <v>45</v>
      </c>
      <c r="B15" s="36">
        <v>0</v>
      </c>
      <c r="C15" s="36">
        <v>0</v>
      </c>
    </row>
  </sheetData>
  <pageMargins left="0.7" right="0.7"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Data</vt:lpstr>
      <vt:lpstr>Auszahlung nach Kind</vt:lpstr>
      <vt:lpstr>Auszahlung nach Gemeinde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Endtner Janik</dc:creator>
  <dc:description/>
  <cp:lastModifiedBy>Nell Frédéric</cp:lastModifiedBy>
  <cp:revision>3</cp:revision>
  <dcterms:created xsi:type="dcterms:W3CDTF">2023-03-27T13:14:04Z</dcterms:created>
  <dcterms:modified xsi:type="dcterms:W3CDTF">2026-03-11T11:30:06Z</dcterms:modified>
  <dc:language>en-US</dc:language>
</cp:coreProperties>
</file>