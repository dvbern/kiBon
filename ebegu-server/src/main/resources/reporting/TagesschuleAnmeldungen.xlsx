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frederic.nell/IdeaProjects/kibon-app/ebegu-server/src/main/resources/reporting/"/>
    </mc:Choice>
  </mc:AlternateContent>
  <xr:revisionPtr revIDLastSave="0" documentId="13_ncr:1_{63A327E1-8698-A74C-8BE6-5F940C8FC193}" xr6:coauthVersionLast="47" xr6:coauthVersionMax="47" xr10:uidLastSave="{00000000-0000-0000-0000-000000000000}"/>
  <bookViews>
    <workbookView xWindow="0" yWindow="660" windowWidth="34560" windowHeight="19940" tabRatio="606" xr2:uid="{00000000-000D-0000-FFFF-FFFF00000000}"/>
  </bookViews>
  <sheets>
    <sheet name="Data" sheetId="6" r:id="rId1"/>
  </sheets>
  <definedNames>
    <definedName name="_xlnm._FilterDatabase" localSheetId="0" hidden="1">Data!$A$8:$S$16</definedName>
    <definedName name="angemeldet1">Data!$V$11</definedName>
    <definedName name="angemeldet10">Data!$AE$11</definedName>
    <definedName name="angemeldet100">Data!$DY$11</definedName>
    <definedName name="angemeldet11">Data!$AF$11</definedName>
    <definedName name="angemeldet12">Data!$AG$11</definedName>
    <definedName name="angemeldet13">Data!$AH$11</definedName>
    <definedName name="angemeldet14">Data!$AI$11</definedName>
    <definedName name="angemeldet15">Data!$AJ$11</definedName>
    <definedName name="angemeldet16">Data!$AK$11</definedName>
    <definedName name="angemeldet17">Data!$AL$11</definedName>
    <definedName name="angemeldet18">Data!$AM$11</definedName>
    <definedName name="angemeldet19">Data!$AN$11</definedName>
    <definedName name="angemeldet2">Data!$W$11</definedName>
    <definedName name="angemeldet20">Data!$AO$11</definedName>
    <definedName name="angemeldet21">Data!$AR$11</definedName>
    <definedName name="angemeldet22">Data!$AS$11</definedName>
    <definedName name="angemeldet23">Data!$AT$11</definedName>
    <definedName name="angemeldet24">Data!$AU$11</definedName>
    <definedName name="angemeldet25">Data!$AV$11</definedName>
    <definedName name="angemeldet26">Data!$AW$11</definedName>
    <definedName name="angemeldet27">Data!$AX$11</definedName>
    <definedName name="angemeldet28">Data!$AY$11</definedName>
    <definedName name="angemeldet29">Data!$AZ$11</definedName>
    <definedName name="angemeldet3">Data!$X$11</definedName>
    <definedName name="angemeldet30">Data!$BA$11</definedName>
    <definedName name="angemeldet31">Data!$BB$11</definedName>
    <definedName name="angemeldet32">Data!$BC$11</definedName>
    <definedName name="angemeldet33">Data!$BD$11</definedName>
    <definedName name="angemeldet34">Data!$BE$11</definedName>
    <definedName name="angemeldet35">Data!$BF$11</definedName>
    <definedName name="angemeldet36">Data!$BG$11</definedName>
    <definedName name="angemeldet37">Data!$BH$11</definedName>
    <definedName name="angemeldet38">Data!$BI$11</definedName>
    <definedName name="angemeldet39">Data!$BJ$11</definedName>
    <definedName name="angemeldet4">Data!$Y$11</definedName>
    <definedName name="angemeldet40">Data!$BK$11</definedName>
    <definedName name="angemeldet41">Data!$BN$11</definedName>
    <definedName name="angemeldet42">Data!$BO$11</definedName>
    <definedName name="angemeldet43">Data!$BP$11</definedName>
    <definedName name="angemeldet44">Data!$BQ$11</definedName>
    <definedName name="angemeldet45">Data!$BR$11</definedName>
    <definedName name="angemeldet46">Data!$BS$11</definedName>
    <definedName name="angemeldet47">Data!$BT$11</definedName>
    <definedName name="angemeldet48">Data!$BU$11</definedName>
    <definedName name="angemeldet49">Data!$BV$11</definedName>
    <definedName name="angemeldet5">Data!$Z$11</definedName>
    <definedName name="angemeldet50">Data!$BW$11</definedName>
    <definedName name="angemeldet51">Data!$BX$11</definedName>
    <definedName name="angemeldet52">Data!$BY$11</definedName>
    <definedName name="angemeldet53">Data!$BZ$11</definedName>
    <definedName name="angemeldet54">Data!$CA$11</definedName>
    <definedName name="angemeldet55">Data!$CB$11</definedName>
    <definedName name="angemeldet56">Data!$CC$11</definedName>
    <definedName name="angemeldet57">Data!$CD$11</definedName>
    <definedName name="angemeldet58">Data!$CE$11</definedName>
    <definedName name="angemeldet59">Data!$CF$11</definedName>
    <definedName name="angemeldet6">Data!$AA$11</definedName>
    <definedName name="angemeldet60">Data!$CG$11</definedName>
    <definedName name="angemeldet61">Data!$CJ$11</definedName>
    <definedName name="angemeldet62">Data!$CK$11</definedName>
    <definedName name="angemeldet63">Data!$CL$11</definedName>
    <definedName name="angemeldet64">Data!$CM$11</definedName>
    <definedName name="angemeldet65">Data!$CN$11</definedName>
    <definedName name="angemeldet66">Data!$CO$11</definedName>
    <definedName name="angemeldet67">Data!$CP$11</definedName>
    <definedName name="angemeldet68">Data!$CQ$11</definedName>
    <definedName name="angemeldet69">Data!$CR$11</definedName>
    <definedName name="angemeldet7">Data!$AB$11</definedName>
    <definedName name="angemeldet70">Data!$CS$11</definedName>
    <definedName name="angemeldet71">Data!$CT$11</definedName>
    <definedName name="angemeldet72">Data!$CU$11</definedName>
    <definedName name="angemeldet73">Data!$CV$11</definedName>
    <definedName name="angemeldet74">Data!$CW$11</definedName>
    <definedName name="angemeldet75">Data!$CX$11</definedName>
    <definedName name="angemeldet76">Data!$CY$11</definedName>
    <definedName name="angemeldet77">Data!$CZ$11</definedName>
    <definedName name="angemeldet78">Data!$DA$11</definedName>
    <definedName name="angemeldet79">Data!$DB$11</definedName>
    <definedName name="angemeldet8">Data!$AC$11</definedName>
    <definedName name="angemeldet80">Data!$DC$11</definedName>
    <definedName name="angemeldet81">Data!$DF$11</definedName>
    <definedName name="angemeldet82">Data!$DG$11</definedName>
    <definedName name="angemeldet83">Data!$DH$11</definedName>
    <definedName name="angemeldet84">Data!$DI$11</definedName>
    <definedName name="angemeldet85">Data!$DJ$11</definedName>
    <definedName name="angemeldet86">Data!$DK$11</definedName>
    <definedName name="angemeldet87">Data!$DL$11</definedName>
    <definedName name="angemeldet88">Data!$DM$11</definedName>
    <definedName name="angemeldet89">Data!$DN$11</definedName>
    <definedName name="angemeldet9">Data!$AD$11</definedName>
    <definedName name="angemeldet90">Data!$DO$11</definedName>
    <definedName name="angemeldet91">Data!$DP$11</definedName>
    <definedName name="angemeldet92">Data!$DQ$11</definedName>
    <definedName name="angemeldet93">Data!$DR$11</definedName>
    <definedName name="angemeldet94">Data!$DS$11</definedName>
    <definedName name="angemeldet95">Data!$DT$11</definedName>
    <definedName name="angemeldet96">Data!$DU$11</definedName>
    <definedName name="angemeldet97">Data!$DV$11</definedName>
    <definedName name="angemeldet98">Data!$DW$11</definedName>
    <definedName name="angemeldet99">Data!$DX$11</definedName>
    <definedName name="freigegebenKategorie">Data!$U$15</definedName>
    <definedName name="nichtFreigegeben1">Data!$V$15</definedName>
    <definedName name="nichtFreigegeben10">Data!$AE$15</definedName>
    <definedName name="nichtFreigegeben100">Data!$DY$15</definedName>
    <definedName name="nichtFreigegeben11">Data!$AF$15</definedName>
    <definedName name="nichtFreigegeben12">Data!$AG$15</definedName>
    <definedName name="nichtFreigegeben13">Data!$AH$15</definedName>
    <definedName name="nichtFreigegeben14">Data!$AI$15</definedName>
    <definedName name="nichtFreigegeben15">Data!$AJ$15</definedName>
    <definedName name="nichtFreigegeben16">Data!$AK$15</definedName>
    <definedName name="nichtFreigegeben17">Data!$AL$15</definedName>
    <definedName name="nichtFreigegeben18">Data!$AM$15</definedName>
    <definedName name="nichtFreigegeben19">Data!$AN$15</definedName>
    <definedName name="nichtFreigegeben2">Data!$W$15</definedName>
    <definedName name="nichtFreigegeben20">Data!$AO$15</definedName>
    <definedName name="nichtFreigegeben21">Data!$AR$15</definedName>
    <definedName name="nichtFreigegeben22">Data!$AS$15</definedName>
    <definedName name="nichtFreigegeben23">Data!$AT$15</definedName>
    <definedName name="nichtFreigegeben24">Data!$AU$15</definedName>
    <definedName name="nichtFreigegeben25">Data!$AV$15</definedName>
    <definedName name="nichtFreigegeben26">Data!$AW$15</definedName>
    <definedName name="nichtFreigegeben27">Data!$AX$15</definedName>
    <definedName name="nichtFreigegeben28">Data!$AY$15</definedName>
    <definedName name="nichtFreigegeben29">Data!$AZ$15</definedName>
    <definedName name="nichtFreigegeben3">Data!$X$15</definedName>
    <definedName name="nichtFreigegeben30">Data!$BA$15</definedName>
    <definedName name="nichtFreigegeben31">Data!$BB$15</definedName>
    <definedName name="nichtFreigegeben32">Data!$BC$15</definedName>
    <definedName name="nichtFreigegeben33">Data!$BD$15</definedName>
    <definedName name="nichtFreigegeben34">Data!$BE$15</definedName>
    <definedName name="nichtFreigegeben35">Data!$BF$15</definedName>
    <definedName name="nichtFreigegeben36">Data!$BG$15</definedName>
    <definedName name="nichtFreigegeben37">Data!$BH$15</definedName>
    <definedName name="nichtFreigegeben38">Data!$BI$15</definedName>
    <definedName name="nichtFreigegeben39">Data!$BJ$15</definedName>
    <definedName name="nichtFreigegeben4">Data!$Y$15</definedName>
    <definedName name="nichtFreigegeben40">Data!$BK$15</definedName>
    <definedName name="nichtFreigegeben41">Data!$BN$15</definedName>
    <definedName name="nichtFreigegeben42">Data!$BO$15</definedName>
    <definedName name="nichtFreigegeben43">Data!$BP$15</definedName>
    <definedName name="nichtFreigegeben44">Data!$BQ$15</definedName>
    <definedName name="nichtFreigegeben45">Data!$BR$15</definedName>
    <definedName name="nichtFreigegeben46">Data!$BS$15</definedName>
    <definedName name="nichtFreigegeben47">Data!$BT$15</definedName>
    <definedName name="nichtFreigegeben48">Data!$BU$15</definedName>
    <definedName name="nichtFreigegeben49">Data!$BV$15</definedName>
    <definedName name="nichtFreigegeben5">Data!$Z$15</definedName>
    <definedName name="nichtFreigegeben50">Data!$BW$15</definedName>
    <definedName name="nichtFreigegeben51">Data!$BX$15</definedName>
    <definedName name="nichtFreigegeben52">Data!$BY$15</definedName>
    <definedName name="nichtFreigegeben53">Data!$BZ$15</definedName>
    <definedName name="nichtFreigegeben54">Data!$CA$15</definedName>
    <definedName name="nichtFreigegeben55">Data!$CB$15</definedName>
    <definedName name="nichtFreigegeben56">Data!$CC$15</definedName>
    <definedName name="nichtFreigegeben57">Data!$CD$15</definedName>
    <definedName name="nichtFreigegeben58">Data!$CE$15</definedName>
    <definedName name="nichtFreigegeben59">Data!$CF$15</definedName>
    <definedName name="nichtFreigegeben6">Data!$AA$15</definedName>
    <definedName name="nichtFreigegeben60">Data!$CG$15</definedName>
    <definedName name="nichtFreigegeben61">Data!$CJ$15</definedName>
    <definedName name="nichtFreigegeben62">Data!$CK$15</definedName>
    <definedName name="nichtFreigegeben63">Data!$CL$15</definedName>
    <definedName name="nichtFreigegeben64">Data!$CM$15</definedName>
    <definedName name="nichtFreigegeben65">Data!$CN$15</definedName>
    <definedName name="nichtFreigegeben66">Data!$CO$15</definedName>
    <definedName name="nichtFreigegeben67">Data!$CP$15</definedName>
    <definedName name="nichtFreigegeben68">Data!$CQ$15</definedName>
    <definedName name="nichtFreigegeben69">Data!$CR$15</definedName>
    <definedName name="nichtFreigegeben7">Data!$AB$15</definedName>
    <definedName name="nichtFreigegeben70">Data!$CS$15</definedName>
    <definedName name="nichtFreigegeben71">Data!$CT$15</definedName>
    <definedName name="nichtFreigegeben72">Data!$CU$15</definedName>
    <definedName name="nichtFreigegeben73">Data!$CV$15</definedName>
    <definedName name="nichtFreigegeben74">Data!$CW$15</definedName>
    <definedName name="nichtFreigegeben75">Data!$CX$15</definedName>
    <definedName name="nichtFreigegeben76">Data!$CY$15</definedName>
    <definedName name="nichtFreigegeben77">Data!$CZ$15</definedName>
    <definedName name="nichtFreigegeben78">Data!$DA$15</definedName>
    <definedName name="nichtFreigegeben79">Data!$DB$15</definedName>
    <definedName name="nichtFreigegeben8">Data!$AC$15</definedName>
    <definedName name="nichtFreigegeben80">Data!$DC$15</definedName>
    <definedName name="nichtFreigegeben81">Data!$DF$15</definedName>
    <definedName name="nichtFreigegeben82">Data!$DG$15</definedName>
    <definedName name="nichtFreigegeben83">Data!$DH$15</definedName>
    <definedName name="nichtFreigegeben84">Data!$DI$15</definedName>
    <definedName name="nichtFreigegeben85">Data!$DJ$15</definedName>
    <definedName name="nichtFreigegeben86">Data!$DK$15</definedName>
    <definedName name="nichtFreigegeben87">Data!$DL$15</definedName>
    <definedName name="nichtFreigegeben88">Data!$DM$15</definedName>
    <definedName name="nichtFreigegeben89">Data!$DN$15</definedName>
    <definedName name="nichtFreigegeben9">Data!$AD$15</definedName>
    <definedName name="nichtFreigegeben90">Data!$DO$15</definedName>
    <definedName name="nichtFreigegeben91">Data!$DP$15</definedName>
    <definedName name="nichtFreigegeben92">Data!$DQ$15</definedName>
    <definedName name="nichtFreigegeben93">Data!$DR$15</definedName>
    <definedName name="nichtFreigegeben94">Data!$DS$15</definedName>
    <definedName name="nichtFreigegeben95">Data!$DT$15</definedName>
    <definedName name="nichtFreigegeben96">Data!$DU$15</definedName>
    <definedName name="nichtFreigegeben97">Data!$DV$15</definedName>
    <definedName name="nichtFreigegeben98">Data!$DW$15</definedName>
    <definedName name="nichtFreigegeben99">Data!$DX$15</definedName>
    <definedName name="statusKategorie">Data!$U$11</definedName>
    <definedName name="summeStundenDi">Data!$BL$11</definedName>
    <definedName name="summeStundenDo">Data!$DD$11</definedName>
    <definedName name="summeStundenFr">Data!$DZ$11</definedName>
    <definedName name="summeStundenMi">Data!$CH$11</definedName>
    <definedName name="summeStundenMo">Data!$AP$11</definedName>
    <definedName name="summeStundenWoche">Data!$EB$11</definedName>
    <definedName name="summeVerpflegungDi">Data!$BM$11</definedName>
    <definedName name="summeVerpflegungDo">Data!$DE$11</definedName>
    <definedName name="summeVerpflegungFr">Data!$EA$11</definedName>
    <definedName name="summeVerpflegungMi">Data!$CI$11</definedName>
    <definedName name="summeVerpflegungMo">Data!$AQ$11</definedName>
    <definedName name="summeVerpflegungNF1">Data!$AQ$15</definedName>
    <definedName name="summeVerpflegungNF2">Data!$BM$15</definedName>
    <definedName name="summeVerpflegungNF3">Data!$CI$15</definedName>
    <definedName name="summeVerpflegungNF4">Data!$DE$15</definedName>
    <definedName name="summeVerpflegungNF5">Data!$EA$15</definedName>
    <definedName name="summeVerpflegungWoche">Data!$EC$11</definedName>
    <definedName name="summStundenNF1">Data!$AP$15</definedName>
    <definedName name="summStundenNF2">Data!$BL$15</definedName>
    <definedName name="summStundenNF3">Data!$CH$15</definedName>
    <definedName name="summStundenNF4">Data!$DD$15</definedName>
    <definedName name="summStundenNF5">Data!$DZ$15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16" i="6" l="1"/>
  <c r="AP11" i="6" l="1"/>
  <c r="AO12" i="6" l="1"/>
  <c r="DY16" i="6" l="1"/>
  <c r="DX16" i="6"/>
  <c r="DW16" i="6"/>
  <c r="DV16" i="6"/>
  <c r="DU16" i="6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DY12" i="6"/>
  <c r="DX12" i="6"/>
  <c r="DW12" i="6"/>
  <c r="DV12" i="6"/>
  <c r="DU12" i="6"/>
  <c r="DT12" i="6"/>
  <c r="DS12" i="6"/>
  <c r="DR12" i="6"/>
  <c r="DQ12" i="6"/>
  <c r="DP12" i="6"/>
  <c r="DO12" i="6"/>
  <c r="DN12" i="6"/>
  <c r="DM12" i="6"/>
  <c r="DL12" i="6"/>
  <c r="DK12" i="6"/>
  <c r="DJ12" i="6"/>
  <c r="DI12" i="6"/>
  <c r="DH12" i="6"/>
  <c r="DG12" i="6"/>
  <c r="DF12" i="6"/>
  <c r="DC12" i="6"/>
  <c r="DB12" i="6"/>
  <c r="DA12" i="6"/>
  <c r="CZ12" i="6"/>
  <c r="CY12" i="6"/>
  <c r="CX12" i="6"/>
  <c r="CW12" i="6"/>
  <c r="CV12" i="6"/>
  <c r="CU12" i="6"/>
  <c r="CT12" i="6"/>
  <c r="CS12" i="6"/>
  <c r="CR12" i="6"/>
  <c r="CQ12" i="6"/>
  <c r="CP12" i="6"/>
  <c r="CO12" i="6"/>
  <c r="CN12" i="6"/>
  <c r="CM12" i="6"/>
  <c r="CL12" i="6"/>
  <c r="CK12" i="6"/>
  <c r="CJ12" i="6"/>
  <c r="CG12" i="6"/>
  <c r="CF12" i="6"/>
  <c r="CE12" i="6"/>
  <c r="CD12" i="6"/>
  <c r="CC12" i="6"/>
  <c r="CB12" i="6"/>
  <c r="CA12" i="6"/>
  <c r="BZ12" i="6"/>
  <c r="BY12" i="6"/>
  <c r="BX12" i="6"/>
  <c r="BW12" i="6"/>
  <c r="BV12" i="6"/>
  <c r="BU12" i="6"/>
  <c r="BT12" i="6"/>
  <c r="BS12" i="6"/>
  <c r="BR12" i="6"/>
  <c r="BQ12" i="6"/>
  <c r="BP12" i="6"/>
  <c r="BO12" i="6"/>
  <c r="BN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EA11" i="6" l="1"/>
  <c r="DZ11" i="6"/>
  <c r="DE11" i="6"/>
  <c r="DD11" i="6"/>
  <c r="CI11" i="6"/>
  <c r="CH11" i="6"/>
  <c r="BM11" i="6"/>
  <c r="BL11" i="6"/>
  <c r="AQ11" i="6"/>
  <c r="EB11" i="6" l="1"/>
  <c r="EC11" i="6"/>
  <c r="U15" i="6"/>
  <c r="S16" i="6" s="1"/>
  <c r="U11" i="6" l="1"/>
  <c r="AP14" i="6" s="1"/>
  <c r="S14" i="6" l="1"/>
  <c r="EC14" i="6"/>
  <c r="EC13" i="6"/>
  <c r="EC12" i="6"/>
  <c r="EB12" i="6"/>
  <c r="EB13" i="6"/>
  <c r="EB14" i="6"/>
  <c r="EA14" i="6"/>
  <c r="DE12" i="6"/>
  <c r="CH13" i="6"/>
  <c r="AQ14" i="6"/>
  <c r="DD13" i="6"/>
  <c r="AQ12" i="6"/>
  <c r="BM13" i="6"/>
  <c r="CI14" i="6"/>
  <c r="CI13" i="6"/>
  <c r="BL12" i="6"/>
  <c r="EA13" i="6"/>
  <c r="DD14" i="6"/>
  <c r="CH12" i="6"/>
  <c r="AQ13" i="6"/>
  <c r="BM14" i="6"/>
  <c r="DD12" i="6"/>
  <c r="DZ12" i="6"/>
  <c r="BL14" i="6"/>
  <c r="CH14" i="6"/>
  <c r="EA12" i="6"/>
  <c r="DZ14" i="6"/>
  <c r="AP13" i="6"/>
  <c r="AP12" i="6"/>
  <c r="DZ13" i="6"/>
  <c r="BM12" i="6"/>
  <c r="DE13" i="6"/>
  <c r="DE14" i="6"/>
  <c r="CI12" i="6"/>
  <c r="BL13" i="6"/>
  <c r="S12" i="6"/>
  <c r="B29" i="6" l="1"/>
  <c r="B28" i="6"/>
  <c r="B27" i="6"/>
  <c r="B26" i="6"/>
  <c r="B25" i="6"/>
  <c r="B24" i="6"/>
  <c r="B23" i="6"/>
  <c r="B22" i="6"/>
  <c r="B21" i="6"/>
  <c r="B20" i="6"/>
  <c r="B19" i="6"/>
  <c r="S13" i="6" l="1"/>
</calcChain>
</file>

<file path=xl/sharedStrings.xml><?xml version="1.0" encoding="utf-8"?>
<sst xmlns="http://schemas.openxmlformats.org/spreadsheetml/2006/main" count="726" uniqueCount="94">
  <si>
    <t>{statusTitle}</t>
  </si>
  <si>
    <t>{nachnameKind}</t>
  </si>
  <si>
    <t>{vornameKind}</t>
  </si>
  <si>
    <t>{referenznummer}</t>
  </si>
  <si>
    <t>{geburtsdatumKind}</t>
  </si>
  <si>
    <t>{status}</t>
  </si>
  <si>
    <t>{modulName}</t>
  </si>
  <si>
    <t>{referenznummerTitle}</t>
  </si>
  <si>
    <t>{angemeldet}</t>
  </si>
  <si>
    <t>{periode}</t>
  </si>
  <si>
    <t>{geburtsdatumTitle}</t>
  </si>
  <si>
    <t>{repeatRow}</t>
  </si>
  <si>
    <t>{repeatCol1}</t>
  </si>
  <si>
    <t>{repeatCol2}</t>
  </si>
  <si>
    <t>{repeatCol3}</t>
  </si>
  <si>
    <t>{repeatCol4}</t>
  </si>
  <si>
    <t>{repeatCol5}</t>
  </si>
  <si>
    <t>In Bearbeitung</t>
  </si>
  <si>
    <t>Anmeldung ausgelöst</t>
  </si>
  <si>
    <t>Anmeldung übernommen</t>
  </si>
  <si>
    <t>Anmeldung abgelehnt</t>
  </si>
  <si>
    <t>Falsche Institution</t>
  </si>
  <si>
    <t>Module akzeptiert</t>
  </si>
  <si>
    <t>En traitement</t>
  </si>
  <si>
    <t>Inscription en cours</t>
  </si>
  <si>
    <t>Inscription reprise</t>
  </si>
  <si>
    <t>Inscription refusée</t>
  </si>
  <si>
    <t>Institution erronée</t>
  </si>
  <si>
    <t>Modules acceptés</t>
  </si>
  <si>
    <t>Status offen</t>
  </si>
  <si>
    <t>OFFEN</t>
  </si>
  <si>
    <t>Status abgelehnt</t>
  </si>
  <si>
    <t>ABGELEHNT</t>
  </si>
  <si>
    <t>Status bestätigt</t>
  </si>
  <si>
    <t>BESTÄTIGT</t>
  </si>
  <si>
    <t>{wochentagDi}</t>
  </si>
  <si>
    <t>{wochentagMo}</t>
  </si>
  <si>
    <t>{wochentagMi}</t>
  </si>
  <si>
    <t>{wochentagDo}</t>
  </si>
  <si>
    <t>{wochentagFr}</t>
  </si>
  <si>
    <t>Status nicht freigegeben</t>
  </si>
  <si>
    <t>NICHT FREIGEGEBEN</t>
  </si>
  <si>
    <t>{repeatRow2}</t>
  </si>
  <si>
    <t>{tagesschuleAnmeldungenTitle}</t>
  </si>
  <si>
    <t>{summeStundenTitle}</t>
  </si>
  <si>
    <t>{summeVerpflegungTitle}</t>
  </si>
  <si>
    <t>{modulStunden}</t>
  </si>
  <si>
    <t>{generiertAmTitle}</t>
  </si>
  <si>
    <t>{generiertAm}</t>
  </si>
  <si>
    <t>{verpflegungskosten}</t>
  </si>
  <si>
    <t>{legendeVolleKosten}</t>
  </si>
  <si>
    <t>{legendeOhneVerpflegung}</t>
  </si>
  <si>
    <t>{legende}</t>
  </si>
  <si>
    <t>{eintrittsdatum}</t>
  </si>
  <si>
    <t>{eintrittsdatumTitle}</t>
  </si>
  <si>
    <t>{legendeZweiwoechentlich}</t>
  </si>
  <si>
    <t>{vornameTitle}</t>
  </si>
  <si>
    <t>{nachnameTitle}</t>
  </si>
  <si>
    <t>{kindTitle}</t>
  </si>
  <si>
    <t>{antragsteller1Title}</t>
  </si>
  <si>
    <t>{emailTitle}</t>
  </si>
  <si>
    <t>{vornameAntragsteller1}</t>
  </si>
  <si>
    <t>{nachnameAntragsteller1}</t>
  </si>
  <si>
    <t>{emailAntragsteller1}</t>
  </si>
  <si>
    <t>{vornameAntragsteller2}</t>
  </si>
  <si>
    <t>{nachnameAntragsteller2}</t>
  </si>
  <si>
    <t>{emailAntragsteller2}</t>
  </si>
  <si>
    <t>{antragsteller2Title}</t>
  </si>
  <si>
    <t>{mobileTitle}</t>
  </si>
  <si>
    <t>{telefonTitle}</t>
  </si>
  <si>
    <t>{mobileAntragsteller1}</t>
  </si>
  <si>
    <t>{telefonAntragsteller1}</t>
  </si>
  <si>
    <t>{mobileAntragsteller2}</t>
  </si>
  <si>
    <t>{telefonAntragsteller2}</t>
  </si>
  <si>
    <t>{bemerkung}</t>
  </si>
  <si>
    <t>{bemerkungTitle}</t>
  </si>
  <si>
    <t>{abweichungTitle}</t>
  </si>
  <si>
    <t>{isAbweichung}</t>
  </si>
  <si>
    <t>{essensOptionTitle}</t>
  </si>
  <si>
    <t>{fleischOptionTitle}</t>
  </si>
  <si>
    <t>{allergienUndUnvertraeglichkeiten}</t>
  </si>
  <si>
    <t>{allergienUndUnvertraeglichkeitenTitle}</t>
  </si>
  <si>
    <t>{notfallnummerTitle}</t>
  </si>
  <si>
    <t>{fleischOption}</t>
  </si>
  <si>
    <t>{notfallnummer}</t>
  </si>
  <si>
    <t>{anzahlBestaetigteAnmeldungen}</t>
  </si>
  <si>
    <t>{anzahlAbgelehnteAnmeldungen}</t>
  </si>
  <si>
    <t>{anzahlOffeneAnmeldungen}</t>
  </si>
  <si>
    <t>{anzahlNichtFreigegebeneAnmeldungen}</t>
  </si>
  <si>
    <t>{abholungTagesschuleTitle}</t>
  </si>
  <si>
    <t>{abholungTagesschule}</t>
  </si>
  <si>
    <t>{planKlasse}</t>
  </si>
  <si>
    <t>{planKlasseTitle}</t>
  </si>
  <si>
    <t>{woche}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</si>
</sst>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0\ &quot;h&quot;"/>
    <numFmt numFmtId="166" formatCode="&quot;CHF&quot;\ #,##0.00"/>
    <numFmt numFmtId="167" formatCode="0.0\ &quot;h&quot;"/>
  </numFmts>
  <fonts count="4" x14ac:knownFonts="1"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D9F1"/>
        <bgColor rgb="FFC0C0C0"/>
      </patternFill>
    </fill>
    <fill>
      <patternFill patternType="lightUp">
        <fgColor theme="0" tint="-0.14996795556505021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9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2" xfId="0" applyBorder="1"/>
    <xf numFmtId="164" fontId="0" fillId="0" borderId="2" xfId="0" applyNumberFormat="1" applyBorder="1"/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vertical="top"/>
    </xf>
    <xf numFmtId="0" fontId="0" fillId="0" borderId="6" xfId="0" applyBorder="1" applyAlignment="1">
      <alignment vertical="top"/>
    </xf>
    <xf numFmtId="14" fontId="0" fillId="0" borderId="2" xfId="0" applyNumberFormat="1" applyBorder="1" applyAlignment="1">
      <alignment horizontal="right"/>
    </xf>
    <xf numFmtId="0" fontId="0" fillId="3" borderId="1" xfId="0" applyFill="1" applyBorder="1"/>
    <xf numFmtId="0" fontId="0" fillId="2" borderId="4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166" fontId="0" fillId="2" borderId="2" xfId="0" applyNumberFormat="1" applyFill="1" applyBorder="1" applyAlignment="1">
      <alignment vertical="top"/>
    </xf>
    <xf numFmtId="0" fontId="3" fillId="0" borderId="1" xfId="1" applyBorder="1"/>
    <xf numFmtId="14" fontId="0" fillId="4" borderId="1" xfId="0" applyNumberFormat="1" applyFill="1" applyBorder="1" applyAlignment="1">
      <alignment horizontal="right"/>
    </xf>
    <xf numFmtId="1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vertical="top"/>
    </xf>
    <xf numFmtId="0" fontId="0" fillId="0" borderId="1" xfId="0" applyBorder="1"/>
    <xf numFmtId="166" fontId="0" fillId="2" borderId="1" xfId="0" applyNumberFormat="1" applyFill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0" fillId="5" borderId="10" xfId="0" applyFill="1" applyBorder="1"/>
    <xf numFmtId="165" fontId="0" fillId="5" borderId="0" xfId="0" applyNumberFormat="1" applyFill="1" applyAlignment="1">
      <alignment vertical="top"/>
    </xf>
    <xf numFmtId="166" fontId="0" fillId="5" borderId="0" xfId="0" applyNumberFormat="1" applyFill="1" applyAlignment="1">
      <alignment horizontal="right" vertical="center"/>
    </xf>
    <xf numFmtId="0" fontId="0" fillId="5" borderId="0" xfId="0" applyFill="1"/>
    <xf numFmtId="0" fontId="0" fillId="0" borderId="11" xfId="0" applyBorder="1"/>
    <xf numFmtId="165" fontId="0" fillId="5" borderId="6" xfId="0" applyNumberFormat="1" applyFill="1" applyBorder="1" applyAlignment="1">
      <alignment vertical="top"/>
    </xf>
    <xf numFmtId="167" fontId="0" fillId="0" borderId="2" xfId="0" applyNumberFormat="1" applyBorder="1" applyAlignment="1">
      <alignment vertical="top"/>
    </xf>
    <xf numFmtId="167" fontId="0" fillId="2" borderId="2" xfId="0" applyNumberFormat="1" applyFill="1" applyBorder="1" applyAlignment="1">
      <alignment vertical="top"/>
    </xf>
    <xf numFmtId="167" fontId="0" fillId="2" borderId="1" xfId="0" applyNumberForma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5" borderId="8" xfId="0" applyFill="1" applyBorder="1"/>
    <xf numFmtId="166" fontId="0" fillId="5" borderId="11" xfId="0" applyNumberFormat="1" applyFill="1" applyBorder="1" applyAlignment="1">
      <alignment horizontal="right" vertical="center"/>
    </xf>
    <xf numFmtId="0" fontId="0" fillId="5" borderId="14" xfId="0" applyFill="1" applyBorder="1"/>
    <xf numFmtId="0" fontId="0" fillId="5" borderId="11" xfId="0" applyFill="1" applyBorder="1"/>
    <xf numFmtId="0" fontId="0" fillId="5" borderId="13" xfId="0" applyFill="1" applyBorder="1"/>
    <xf numFmtId="166" fontId="0" fillId="3" borderId="3" xfId="0" applyNumberFormat="1" applyFill="1" applyBorder="1"/>
    <xf numFmtId="166" fontId="0" fillId="2" borderId="10" xfId="0" applyNumberFormat="1" applyFill="1" applyBorder="1" applyAlignment="1">
      <alignment vertical="top"/>
    </xf>
    <xf numFmtId="166" fontId="0" fillId="2" borderId="3" xfId="0" applyNumberFormat="1" applyFill="1" applyBorder="1" applyAlignment="1">
      <alignment vertical="top"/>
    </xf>
    <xf numFmtId="0" fontId="0" fillId="5" borderId="15" xfId="0" applyFill="1" applyBorder="1"/>
    <xf numFmtId="0" fontId="0" fillId="5" borderId="7" xfId="0" applyFill="1" applyBorder="1"/>
    <xf numFmtId="0" fontId="0" fillId="5" borderId="9" xfId="0" applyFill="1" applyBorder="1"/>
    <xf numFmtId="0" fontId="0" fillId="5" borderId="2" xfId="0" applyFill="1" applyBorder="1"/>
    <xf numFmtId="166" fontId="0" fillId="0" borderId="1" xfId="0" applyNumberFormat="1" applyBorder="1" applyAlignment="1">
      <alignment horizontal="left" vertical="top"/>
    </xf>
    <xf numFmtId="0" fontId="0" fillId="3" borderId="0" xfId="0" applyFill="1"/>
    <xf numFmtId="0" fontId="0" fillId="2" borderId="2" xfId="0" applyFill="1" applyBorder="1" applyAlignment="1">
      <alignment horizontal="center" vertical="top"/>
    </xf>
    <xf numFmtId="0" fontId="0" fillId="2" borderId="9" xfId="0" applyFill="1" applyBorder="1" applyAlignment="1">
      <alignment horizontal="center" vertical="top"/>
    </xf>
    <xf numFmtId="0" fontId="0" fillId="2" borderId="7" xfId="0" applyFill="1" applyBorder="1" applyAlignment="1">
      <alignment vertical="top"/>
    </xf>
    <xf numFmtId="0" fontId="0" fillId="2" borderId="9" xfId="0" applyFill="1" applyBorder="1" applyAlignment="1">
      <alignment horizontal="center" vertical="top" wrapText="1"/>
    </xf>
    <xf numFmtId="166" fontId="0" fillId="3" borderId="12" xfId="0" applyNumberFormat="1" applyFill="1" applyBorder="1"/>
    <xf numFmtId="166" fontId="0" fillId="2" borderId="6" xfId="0" applyNumberFormat="1" applyFill="1" applyBorder="1" applyAlignment="1">
      <alignment vertical="top"/>
    </xf>
    <xf numFmtId="166" fontId="0" fillId="0" borderId="1" xfId="0" applyNumberFormat="1" applyBorder="1" applyAlignment="1">
      <alignment vertical="top"/>
    </xf>
    <xf numFmtId="0" fontId="0" fillId="2" borderId="11" xfId="0" applyFill="1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0" fillId="2" borderId="15" xfId="0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1" xfId="0" applyBorder="1" applyAlignment="1">
      <alignment horizontal="left"/>
    </xf>
    <xf numFmtId="0" fontId="0" fillId="2" borderId="7" xfId="0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3" borderId="1" xfId="0" applyFill="1" applyBorder="1"/>
    <xf numFmtId="0" fontId="0" fillId="2" borderId="12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0" fillId="2" borderId="13" xfId="0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0" fillId="2" borderId="14" xfId="0" applyFill="1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2" borderId="15" xfId="0" applyFill="1" applyBorder="1" applyAlignment="1">
      <alignment horizontal="center" vertical="top"/>
    </xf>
    <xf numFmtId="0" fontId="0" fillId="2" borderId="9" xfId="0" applyFill="1" applyBorder="1" applyAlignment="1">
      <alignment horizontal="center" vertical="top"/>
    </xf>
    <xf numFmtId="166" fontId="0" fillId="6" borderId="3" xfId="0" applyNumberFormat="1" applyFill="1" applyBorder="1" applyAlignment="1">
      <alignment vertical="top" wrapText="1"/>
    </xf>
    <xf numFmtId="166" fontId="0" fillId="6" borderId="5" xfId="0" applyNumberFormat="1" applyFill="1" applyBorder="1" applyAlignment="1">
      <alignment vertical="top" wrapText="1"/>
    </xf>
    <xf numFmtId="0" fontId="0" fillId="2" borderId="12" xfId="0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15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9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166" fontId="0" fillId="6" borderId="12" xfId="0" applyNumberFormat="1" applyFill="1" applyBorder="1" applyAlignment="1">
      <alignment vertical="top" wrapText="1"/>
    </xf>
    <xf numFmtId="166" fontId="0" fillId="6" borderId="13" xfId="0" applyNumberFormat="1" applyFill="1" applyBorder="1" applyAlignment="1">
      <alignment vertical="top" wrapText="1"/>
    </xf>
  </cellXfs>
  <cellStyles count="2">
    <cellStyle name="Normal" xfId="0" builtinId="0"/>
    <cellStyle name="Standard 2" xfId="1" xr:uid="{4D11B231-AAE6-44F9-843C-66A0D70C5328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EH39"/>
  <sheetViews>
    <sheetView tabSelected="1" topLeftCell="DS1" zoomScaleNormal="100" workbookViewId="0">
      <selection activeCell="DY8" sqref="DY8"/>
    </sheetView>
  </sheetViews>
  <sheetFormatPr baseColWidth="10" defaultColWidth="9.1640625" defaultRowHeight="15" x14ac:dyDescent="0.2"/>
  <cols>
    <col min="1" max="2" width="20.6640625"/>
    <col min="3" max="16" width="17.5" style="1" customWidth="1"/>
    <col min="17" max="18" width="17"/>
    <col min="19" max="20" width="33.1640625" customWidth="1"/>
    <col min="21" max="21" width="33.1640625" hidden="1" customWidth="1"/>
    <col min="22" max="26" width="13.33203125" customWidth="1"/>
    <col min="27" max="27" width="13.5" customWidth="1"/>
    <col min="28" max="41" width="10.5"/>
    <col min="44" max="63" width="10.5"/>
    <col min="66" max="85" width="10.5"/>
    <col min="88" max="107" width="10.5"/>
    <col min="110" max="128" width="10.5"/>
    <col min="129" max="129" width="10" customWidth="1"/>
    <col min="132" max="133" width="10.5"/>
    <col min="134" max="134" width="50" customWidth="1"/>
    <col min="135" max="135" width="22.6640625" customWidth="1"/>
    <col min="138" max="994" width="10.5"/>
  </cols>
  <sheetData>
    <row r="1" spans="1:138" ht="21" x14ac:dyDescent="0.25">
      <c r="A1" s="2" t="s">
        <v>43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2"/>
      <c r="V1" s="2"/>
      <c r="W1" s="2"/>
      <c r="X1" s="2"/>
      <c r="Y1" s="2"/>
      <c r="Z1" s="2"/>
    </row>
    <row r="2" spans="1:138" ht="21" customHeight="1" x14ac:dyDescent="0.25">
      <c r="A2" s="8" t="s">
        <v>9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  <c r="R2" s="2"/>
      <c r="S2" s="2"/>
      <c r="T2" s="2"/>
      <c r="U2" s="2"/>
      <c r="V2" s="2"/>
      <c r="W2" s="2"/>
      <c r="X2" s="2"/>
      <c r="Y2" s="2"/>
      <c r="Z2" s="2"/>
    </row>
    <row r="3" spans="1:138" ht="21" customHeight="1" x14ac:dyDescent="0.25">
      <c r="A3" s="8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2"/>
      <c r="R3" s="2"/>
      <c r="S3" s="2"/>
      <c r="T3" s="2"/>
      <c r="U3" s="2"/>
      <c r="V3" s="2"/>
      <c r="W3" s="2"/>
      <c r="X3" s="2"/>
      <c r="Y3" s="2"/>
      <c r="Z3" s="2"/>
    </row>
    <row r="4" spans="1:138" ht="15" customHeight="1" x14ac:dyDescent="0.25">
      <c r="A4" s="8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138" ht="17.25" customHeight="1" x14ac:dyDescent="0.25">
      <c r="A5" s="17" t="s">
        <v>47</v>
      </c>
      <c r="B5" s="18" t="s">
        <v>48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</row>
    <row r="6" spans="1:138" ht="15" customHeight="1" x14ac:dyDescent="0.2">
      <c r="C6"/>
      <c r="D6"/>
      <c r="E6"/>
      <c r="F6"/>
      <c r="G6"/>
      <c r="H6"/>
      <c r="I6"/>
      <c r="J6"/>
      <c r="K6"/>
      <c r="L6"/>
      <c r="M6"/>
      <c r="N6"/>
      <c r="O6"/>
      <c r="P6"/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R6" t="s">
        <v>13</v>
      </c>
      <c r="AS6" t="s">
        <v>13</v>
      </c>
      <c r="AT6" t="s">
        <v>13</v>
      </c>
      <c r="AU6" t="s">
        <v>13</v>
      </c>
      <c r="AV6" t="s">
        <v>13</v>
      </c>
      <c r="AW6" t="s">
        <v>13</v>
      </c>
      <c r="AX6" t="s">
        <v>13</v>
      </c>
      <c r="AY6" t="s">
        <v>13</v>
      </c>
      <c r="AZ6" t="s">
        <v>13</v>
      </c>
      <c r="BA6" t="s">
        <v>13</v>
      </c>
      <c r="BB6" t="s">
        <v>13</v>
      </c>
      <c r="BC6" t="s">
        <v>13</v>
      </c>
      <c r="BD6" t="s">
        <v>13</v>
      </c>
      <c r="BE6" t="s">
        <v>13</v>
      </c>
      <c r="BF6" t="s">
        <v>13</v>
      </c>
      <c r="BG6" t="s">
        <v>13</v>
      </c>
      <c r="BH6" t="s">
        <v>13</v>
      </c>
      <c r="BI6" t="s">
        <v>13</v>
      </c>
      <c r="BJ6" t="s">
        <v>13</v>
      </c>
      <c r="BK6" t="s">
        <v>13</v>
      </c>
      <c r="BN6" t="s">
        <v>14</v>
      </c>
      <c r="BO6" t="s">
        <v>14</v>
      </c>
      <c r="BP6" t="s">
        <v>14</v>
      </c>
      <c r="BQ6" t="s">
        <v>14</v>
      </c>
      <c r="BR6" t="s">
        <v>14</v>
      </c>
      <c r="BS6" t="s">
        <v>14</v>
      </c>
      <c r="BT6" t="s">
        <v>14</v>
      </c>
      <c r="BU6" t="s">
        <v>14</v>
      </c>
      <c r="BV6" t="s">
        <v>14</v>
      </c>
      <c r="BW6" t="s">
        <v>14</v>
      </c>
      <c r="BX6" t="s">
        <v>14</v>
      </c>
      <c r="BY6" t="s">
        <v>14</v>
      </c>
      <c r="BZ6" t="s">
        <v>14</v>
      </c>
      <c r="CA6" t="s">
        <v>14</v>
      </c>
      <c r="CB6" t="s">
        <v>14</v>
      </c>
      <c r="CC6" t="s">
        <v>14</v>
      </c>
      <c r="CD6" t="s">
        <v>14</v>
      </c>
      <c r="CE6" t="s">
        <v>14</v>
      </c>
      <c r="CF6" t="s">
        <v>14</v>
      </c>
      <c r="CG6" t="s">
        <v>14</v>
      </c>
      <c r="CJ6" t="s">
        <v>15</v>
      </c>
      <c r="CK6" t="s">
        <v>15</v>
      </c>
      <c r="CL6" t="s">
        <v>15</v>
      </c>
      <c r="CM6" t="s">
        <v>15</v>
      </c>
      <c r="CN6" t="s">
        <v>15</v>
      </c>
      <c r="CO6" t="s">
        <v>15</v>
      </c>
      <c r="CP6" t="s">
        <v>15</v>
      </c>
      <c r="CQ6" t="s">
        <v>15</v>
      </c>
      <c r="CR6" t="s">
        <v>15</v>
      </c>
      <c r="CS6" t="s">
        <v>15</v>
      </c>
      <c r="CT6" t="s">
        <v>15</v>
      </c>
      <c r="CU6" t="s">
        <v>15</v>
      </c>
      <c r="CV6" t="s">
        <v>15</v>
      </c>
      <c r="CW6" t="s">
        <v>15</v>
      </c>
      <c r="CX6" t="s">
        <v>15</v>
      </c>
      <c r="CY6" t="s">
        <v>15</v>
      </c>
      <c r="CZ6" t="s">
        <v>15</v>
      </c>
      <c r="DA6" t="s">
        <v>15</v>
      </c>
      <c r="DB6" t="s">
        <v>15</v>
      </c>
      <c r="DC6" t="s">
        <v>15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</row>
    <row r="7" spans="1:138" s="5" customFormat="1" ht="15" customHeight="1" x14ac:dyDescent="0.2">
      <c r="A7" s="72" t="s">
        <v>58</v>
      </c>
      <c r="B7" s="73"/>
      <c r="C7" s="74"/>
      <c r="D7" s="72" t="s">
        <v>78</v>
      </c>
      <c r="E7" s="73"/>
      <c r="F7" s="74"/>
      <c r="G7" s="72" t="s">
        <v>59</v>
      </c>
      <c r="H7" s="73"/>
      <c r="I7" s="73"/>
      <c r="J7" s="73"/>
      <c r="K7" s="74"/>
      <c r="L7" s="72" t="s">
        <v>67</v>
      </c>
      <c r="M7" s="73"/>
      <c r="N7" s="73"/>
      <c r="O7" s="73"/>
      <c r="P7" s="74"/>
      <c r="Q7" s="78" t="s">
        <v>7</v>
      </c>
      <c r="R7" s="78" t="s">
        <v>54</v>
      </c>
      <c r="S7" s="78" t="s">
        <v>0</v>
      </c>
      <c r="T7" s="57" t="s">
        <v>92</v>
      </c>
      <c r="U7" s="14"/>
      <c r="V7" s="64" t="s">
        <v>36</v>
      </c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6"/>
      <c r="AR7" s="64" t="s">
        <v>35</v>
      </c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6"/>
      <c r="BN7" s="64" t="s">
        <v>37</v>
      </c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6"/>
      <c r="CJ7" s="64" t="s">
        <v>38</v>
      </c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6"/>
      <c r="DF7" s="64" t="s">
        <v>39</v>
      </c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6"/>
      <c r="EB7" s="92" t="s">
        <v>93</v>
      </c>
      <c r="EC7" s="92"/>
      <c r="ED7" s="52" t="s">
        <v>89</v>
      </c>
      <c r="EE7" s="93" t="s">
        <v>76</v>
      </c>
      <c r="EF7" s="86" t="s">
        <v>75</v>
      </c>
      <c r="EG7" s="87"/>
      <c r="EH7" s="11"/>
    </row>
    <row r="8" spans="1:138" s="5" customFormat="1" ht="15" customHeight="1" x14ac:dyDescent="0.2">
      <c r="A8" s="75"/>
      <c r="B8" s="76"/>
      <c r="C8" s="77"/>
      <c r="D8" s="75"/>
      <c r="E8" s="76"/>
      <c r="F8" s="77"/>
      <c r="G8" s="75"/>
      <c r="H8" s="76"/>
      <c r="I8" s="76"/>
      <c r="J8" s="76"/>
      <c r="K8" s="77"/>
      <c r="L8" s="80"/>
      <c r="M8" s="81"/>
      <c r="N8" s="81"/>
      <c r="O8" s="81"/>
      <c r="P8" s="82"/>
      <c r="Q8" s="83"/>
      <c r="R8" s="83"/>
      <c r="S8" s="83"/>
      <c r="T8" s="59"/>
      <c r="U8" s="15"/>
      <c r="V8" s="4" t="s">
        <v>6</v>
      </c>
      <c r="W8" s="4" t="s">
        <v>6</v>
      </c>
      <c r="X8" s="4" t="s">
        <v>6</v>
      </c>
      <c r="Y8" s="4" t="s">
        <v>6</v>
      </c>
      <c r="Z8" s="4" t="s">
        <v>6</v>
      </c>
      <c r="AA8" s="4" t="s">
        <v>6</v>
      </c>
      <c r="AB8" s="4" t="s">
        <v>6</v>
      </c>
      <c r="AC8" s="4" t="s">
        <v>6</v>
      </c>
      <c r="AD8" s="4" t="s">
        <v>6</v>
      </c>
      <c r="AE8" s="4" t="s">
        <v>6</v>
      </c>
      <c r="AF8" s="4" t="s">
        <v>6</v>
      </c>
      <c r="AG8" s="4" t="s">
        <v>6</v>
      </c>
      <c r="AH8" s="4" t="s">
        <v>6</v>
      </c>
      <c r="AI8" s="4" t="s">
        <v>6</v>
      </c>
      <c r="AJ8" s="4" t="s">
        <v>6</v>
      </c>
      <c r="AK8" s="4" t="s">
        <v>6</v>
      </c>
      <c r="AL8" s="4" t="s">
        <v>6</v>
      </c>
      <c r="AM8" s="4" t="s">
        <v>6</v>
      </c>
      <c r="AN8" s="4" t="s">
        <v>6</v>
      </c>
      <c r="AO8" s="4" t="s">
        <v>6</v>
      </c>
      <c r="AP8" s="68" t="s">
        <v>44</v>
      </c>
      <c r="AQ8" s="68" t="s">
        <v>45</v>
      </c>
      <c r="AR8" s="4" t="s">
        <v>6</v>
      </c>
      <c r="AS8" s="4" t="s">
        <v>6</v>
      </c>
      <c r="AT8" s="4" t="s">
        <v>6</v>
      </c>
      <c r="AU8" s="4" t="s">
        <v>6</v>
      </c>
      <c r="AV8" s="4" t="s">
        <v>6</v>
      </c>
      <c r="AW8" s="4" t="s">
        <v>6</v>
      </c>
      <c r="AX8" s="4" t="s">
        <v>6</v>
      </c>
      <c r="AY8" s="4" t="s">
        <v>6</v>
      </c>
      <c r="AZ8" s="4" t="s">
        <v>6</v>
      </c>
      <c r="BA8" s="4" t="s">
        <v>6</v>
      </c>
      <c r="BB8" s="4" t="s">
        <v>6</v>
      </c>
      <c r="BC8" s="4" t="s">
        <v>6</v>
      </c>
      <c r="BD8" s="4" t="s">
        <v>6</v>
      </c>
      <c r="BE8" s="4" t="s">
        <v>6</v>
      </c>
      <c r="BF8" s="4" t="s">
        <v>6</v>
      </c>
      <c r="BG8" s="4" t="s">
        <v>6</v>
      </c>
      <c r="BH8" s="4" t="s">
        <v>6</v>
      </c>
      <c r="BI8" s="4" t="s">
        <v>6</v>
      </c>
      <c r="BJ8" s="4" t="s">
        <v>6</v>
      </c>
      <c r="BK8" s="4" t="s">
        <v>6</v>
      </c>
      <c r="BL8" s="68" t="s">
        <v>44</v>
      </c>
      <c r="BM8" s="68" t="s">
        <v>45</v>
      </c>
      <c r="BN8" s="4" t="s">
        <v>6</v>
      </c>
      <c r="BO8" s="4" t="s">
        <v>6</v>
      </c>
      <c r="BP8" s="4" t="s">
        <v>6</v>
      </c>
      <c r="BQ8" s="4" t="s">
        <v>6</v>
      </c>
      <c r="BR8" s="4" t="s">
        <v>6</v>
      </c>
      <c r="BS8" s="4" t="s">
        <v>6</v>
      </c>
      <c r="BT8" s="4" t="s">
        <v>6</v>
      </c>
      <c r="BU8" s="4" t="s">
        <v>6</v>
      </c>
      <c r="BV8" s="4" t="s">
        <v>6</v>
      </c>
      <c r="BW8" s="4" t="s">
        <v>6</v>
      </c>
      <c r="BX8" s="4" t="s">
        <v>6</v>
      </c>
      <c r="BY8" s="4" t="s">
        <v>6</v>
      </c>
      <c r="BZ8" s="4" t="s">
        <v>6</v>
      </c>
      <c r="CA8" s="4" t="s">
        <v>6</v>
      </c>
      <c r="CB8" s="4" t="s">
        <v>6</v>
      </c>
      <c r="CC8" s="4" t="s">
        <v>6</v>
      </c>
      <c r="CD8" s="4" t="s">
        <v>6</v>
      </c>
      <c r="CE8" s="4" t="s">
        <v>6</v>
      </c>
      <c r="CF8" s="4" t="s">
        <v>6</v>
      </c>
      <c r="CG8" s="4" t="s">
        <v>6</v>
      </c>
      <c r="CH8" s="68" t="s">
        <v>44</v>
      </c>
      <c r="CI8" s="68" t="s">
        <v>45</v>
      </c>
      <c r="CJ8" s="4" t="s">
        <v>6</v>
      </c>
      <c r="CK8" s="4" t="s">
        <v>6</v>
      </c>
      <c r="CL8" s="4" t="s">
        <v>6</v>
      </c>
      <c r="CM8" s="4" t="s">
        <v>6</v>
      </c>
      <c r="CN8" s="4" t="s">
        <v>6</v>
      </c>
      <c r="CO8" s="4" t="s">
        <v>6</v>
      </c>
      <c r="CP8" s="4" t="s">
        <v>6</v>
      </c>
      <c r="CQ8" s="4" t="s">
        <v>6</v>
      </c>
      <c r="CR8" s="4" t="s">
        <v>6</v>
      </c>
      <c r="CS8" s="4" t="s">
        <v>6</v>
      </c>
      <c r="CT8" s="4" t="s">
        <v>6</v>
      </c>
      <c r="CU8" s="4" t="s">
        <v>6</v>
      </c>
      <c r="CV8" s="4" t="s">
        <v>6</v>
      </c>
      <c r="CW8" s="4" t="s">
        <v>6</v>
      </c>
      <c r="CX8" s="4" t="s">
        <v>6</v>
      </c>
      <c r="CY8" s="4" t="s">
        <v>6</v>
      </c>
      <c r="CZ8" s="4" t="s">
        <v>6</v>
      </c>
      <c r="DA8" s="4" t="s">
        <v>6</v>
      </c>
      <c r="DB8" s="4" t="s">
        <v>6</v>
      </c>
      <c r="DC8" s="4" t="s">
        <v>6</v>
      </c>
      <c r="DD8" s="68" t="s">
        <v>44</v>
      </c>
      <c r="DE8" s="68" t="s">
        <v>45</v>
      </c>
      <c r="DF8" s="4" t="s">
        <v>6</v>
      </c>
      <c r="DG8" s="4" t="s">
        <v>6</v>
      </c>
      <c r="DH8" s="4" t="s">
        <v>6</v>
      </c>
      <c r="DI8" s="4" t="s">
        <v>6</v>
      </c>
      <c r="DJ8" s="4" t="s">
        <v>6</v>
      </c>
      <c r="DK8" s="4" t="s">
        <v>6</v>
      </c>
      <c r="DL8" s="4" t="s">
        <v>6</v>
      </c>
      <c r="DM8" s="4" t="s">
        <v>6</v>
      </c>
      <c r="DN8" s="4" t="s">
        <v>6</v>
      </c>
      <c r="DO8" s="4" t="s">
        <v>6</v>
      </c>
      <c r="DP8" s="4" t="s">
        <v>6</v>
      </c>
      <c r="DQ8" s="4" t="s">
        <v>6</v>
      </c>
      <c r="DR8" s="4" t="s">
        <v>6</v>
      </c>
      <c r="DS8" s="4" t="s">
        <v>6</v>
      </c>
      <c r="DT8" s="4" t="s">
        <v>6</v>
      </c>
      <c r="DU8" s="4" t="s">
        <v>6</v>
      </c>
      <c r="DV8" s="4" t="s">
        <v>6</v>
      </c>
      <c r="DW8" s="4" t="s">
        <v>6</v>
      </c>
      <c r="DX8" s="4" t="s">
        <v>6</v>
      </c>
      <c r="DY8" s="10" t="s">
        <v>6</v>
      </c>
      <c r="DZ8" s="68" t="s">
        <v>44</v>
      </c>
      <c r="EA8" s="68" t="s">
        <v>45</v>
      </c>
      <c r="EB8" s="68" t="s">
        <v>44</v>
      </c>
      <c r="EC8" s="68" t="s">
        <v>45</v>
      </c>
      <c r="ED8" s="53"/>
      <c r="EE8" s="94"/>
      <c r="EF8" s="88"/>
      <c r="EG8" s="89"/>
    </row>
    <row r="9" spans="1:138" s="5" customFormat="1" ht="15" customHeight="1" x14ac:dyDescent="0.2">
      <c r="A9" s="78" t="s">
        <v>56</v>
      </c>
      <c r="B9" s="78" t="s">
        <v>57</v>
      </c>
      <c r="C9" s="78" t="s">
        <v>10</v>
      </c>
      <c r="D9" s="78" t="s">
        <v>79</v>
      </c>
      <c r="E9" s="78" t="s">
        <v>81</v>
      </c>
      <c r="F9" s="78" t="s">
        <v>82</v>
      </c>
      <c r="G9" s="78" t="s">
        <v>56</v>
      </c>
      <c r="H9" s="78" t="s">
        <v>57</v>
      </c>
      <c r="I9" s="78" t="s">
        <v>60</v>
      </c>
      <c r="J9" s="78" t="s">
        <v>68</v>
      </c>
      <c r="K9" s="78" t="s">
        <v>69</v>
      </c>
      <c r="L9" s="78" t="s">
        <v>56</v>
      </c>
      <c r="M9" s="78" t="s">
        <v>57</v>
      </c>
      <c r="N9" s="78" t="s">
        <v>60</v>
      </c>
      <c r="O9" s="78" t="s">
        <v>68</v>
      </c>
      <c r="P9" s="78" t="s">
        <v>69</v>
      </c>
      <c r="Q9" s="83"/>
      <c r="R9" s="83"/>
      <c r="S9" s="83"/>
      <c r="T9" s="59"/>
      <c r="U9" s="15"/>
      <c r="V9" s="32" t="s">
        <v>46</v>
      </c>
      <c r="W9" s="32" t="s">
        <v>46</v>
      </c>
      <c r="X9" s="32" t="s">
        <v>46</v>
      </c>
      <c r="Y9" s="32" t="s">
        <v>46</v>
      </c>
      <c r="Z9" s="32" t="s">
        <v>46</v>
      </c>
      <c r="AA9" s="32" t="s">
        <v>46</v>
      </c>
      <c r="AB9" s="32" t="s">
        <v>46</v>
      </c>
      <c r="AC9" s="32" t="s">
        <v>46</v>
      </c>
      <c r="AD9" s="32" t="s">
        <v>46</v>
      </c>
      <c r="AE9" s="32" t="s">
        <v>46</v>
      </c>
      <c r="AF9" s="32" t="s">
        <v>46</v>
      </c>
      <c r="AG9" s="32" t="s">
        <v>46</v>
      </c>
      <c r="AH9" s="32" t="s">
        <v>46</v>
      </c>
      <c r="AI9" s="32" t="s">
        <v>46</v>
      </c>
      <c r="AJ9" s="32" t="s">
        <v>46</v>
      </c>
      <c r="AK9" s="32" t="s">
        <v>46</v>
      </c>
      <c r="AL9" s="32" t="s">
        <v>46</v>
      </c>
      <c r="AM9" s="32" t="s">
        <v>46</v>
      </c>
      <c r="AN9" s="32" t="s">
        <v>46</v>
      </c>
      <c r="AO9" s="32" t="s">
        <v>46</v>
      </c>
      <c r="AP9" s="69"/>
      <c r="AQ9" s="69"/>
      <c r="AR9" s="32" t="s">
        <v>46</v>
      </c>
      <c r="AS9" s="32" t="s">
        <v>46</v>
      </c>
      <c r="AT9" s="32" t="s">
        <v>46</v>
      </c>
      <c r="AU9" s="32" t="s">
        <v>46</v>
      </c>
      <c r="AV9" s="32" t="s">
        <v>46</v>
      </c>
      <c r="AW9" s="32" t="s">
        <v>46</v>
      </c>
      <c r="AX9" s="32" t="s">
        <v>46</v>
      </c>
      <c r="AY9" s="32" t="s">
        <v>46</v>
      </c>
      <c r="AZ9" s="32" t="s">
        <v>46</v>
      </c>
      <c r="BA9" s="32" t="s">
        <v>46</v>
      </c>
      <c r="BB9" s="32" t="s">
        <v>46</v>
      </c>
      <c r="BC9" s="32" t="s">
        <v>46</v>
      </c>
      <c r="BD9" s="32" t="s">
        <v>46</v>
      </c>
      <c r="BE9" s="32" t="s">
        <v>46</v>
      </c>
      <c r="BF9" s="32" t="s">
        <v>46</v>
      </c>
      <c r="BG9" s="32" t="s">
        <v>46</v>
      </c>
      <c r="BH9" s="32" t="s">
        <v>46</v>
      </c>
      <c r="BI9" s="32" t="s">
        <v>46</v>
      </c>
      <c r="BJ9" s="32" t="s">
        <v>46</v>
      </c>
      <c r="BK9" s="32" t="s">
        <v>46</v>
      </c>
      <c r="BL9" s="69"/>
      <c r="BM9" s="69"/>
      <c r="BN9" s="32" t="s">
        <v>46</v>
      </c>
      <c r="BO9" s="32" t="s">
        <v>46</v>
      </c>
      <c r="BP9" s="32" t="s">
        <v>46</v>
      </c>
      <c r="BQ9" s="32" t="s">
        <v>46</v>
      </c>
      <c r="BR9" s="32" t="s">
        <v>46</v>
      </c>
      <c r="BS9" s="32" t="s">
        <v>46</v>
      </c>
      <c r="BT9" s="32" t="s">
        <v>46</v>
      </c>
      <c r="BU9" s="32" t="s">
        <v>46</v>
      </c>
      <c r="BV9" s="32" t="s">
        <v>46</v>
      </c>
      <c r="BW9" s="32" t="s">
        <v>46</v>
      </c>
      <c r="BX9" s="32" t="s">
        <v>46</v>
      </c>
      <c r="BY9" s="32" t="s">
        <v>46</v>
      </c>
      <c r="BZ9" s="32" t="s">
        <v>46</v>
      </c>
      <c r="CA9" s="32" t="s">
        <v>46</v>
      </c>
      <c r="CB9" s="32" t="s">
        <v>46</v>
      </c>
      <c r="CC9" s="32" t="s">
        <v>46</v>
      </c>
      <c r="CD9" s="32" t="s">
        <v>46</v>
      </c>
      <c r="CE9" s="32" t="s">
        <v>46</v>
      </c>
      <c r="CF9" s="32" t="s">
        <v>46</v>
      </c>
      <c r="CG9" s="32" t="s">
        <v>46</v>
      </c>
      <c r="CH9" s="69"/>
      <c r="CI9" s="69"/>
      <c r="CJ9" s="32" t="s">
        <v>46</v>
      </c>
      <c r="CK9" s="32" t="s">
        <v>46</v>
      </c>
      <c r="CL9" s="32" t="s">
        <v>46</v>
      </c>
      <c r="CM9" s="32" t="s">
        <v>46</v>
      </c>
      <c r="CN9" s="32" t="s">
        <v>46</v>
      </c>
      <c r="CO9" s="32" t="s">
        <v>46</v>
      </c>
      <c r="CP9" s="32" t="s">
        <v>46</v>
      </c>
      <c r="CQ9" s="32" t="s">
        <v>46</v>
      </c>
      <c r="CR9" s="32" t="s">
        <v>46</v>
      </c>
      <c r="CS9" s="32" t="s">
        <v>46</v>
      </c>
      <c r="CT9" s="32" t="s">
        <v>46</v>
      </c>
      <c r="CU9" s="32" t="s">
        <v>46</v>
      </c>
      <c r="CV9" s="32" t="s">
        <v>46</v>
      </c>
      <c r="CW9" s="32" t="s">
        <v>46</v>
      </c>
      <c r="CX9" s="32" t="s">
        <v>46</v>
      </c>
      <c r="CY9" s="32" t="s">
        <v>46</v>
      </c>
      <c r="CZ9" s="32" t="s">
        <v>46</v>
      </c>
      <c r="DA9" s="32" t="s">
        <v>46</v>
      </c>
      <c r="DB9" s="32" t="s">
        <v>46</v>
      </c>
      <c r="DC9" s="32" t="s">
        <v>46</v>
      </c>
      <c r="DD9" s="69"/>
      <c r="DE9" s="69"/>
      <c r="DF9" s="32" t="s">
        <v>46</v>
      </c>
      <c r="DG9" s="32" t="s">
        <v>46</v>
      </c>
      <c r="DH9" s="32" t="s">
        <v>46</v>
      </c>
      <c r="DI9" s="32" t="s">
        <v>46</v>
      </c>
      <c r="DJ9" s="32" t="s">
        <v>46</v>
      </c>
      <c r="DK9" s="32" t="s">
        <v>46</v>
      </c>
      <c r="DL9" s="32" t="s">
        <v>46</v>
      </c>
      <c r="DM9" s="32" t="s">
        <v>46</v>
      </c>
      <c r="DN9" s="32" t="s">
        <v>46</v>
      </c>
      <c r="DO9" s="32" t="s">
        <v>46</v>
      </c>
      <c r="DP9" s="32" t="s">
        <v>46</v>
      </c>
      <c r="DQ9" s="32" t="s">
        <v>46</v>
      </c>
      <c r="DR9" s="32" t="s">
        <v>46</v>
      </c>
      <c r="DS9" s="32" t="s">
        <v>46</v>
      </c>
      <c r="DT9" s="32" t="s">
        <v>46</v>
      </c>
      <c r="DU9" s="32" t="s">
        <v>46</v>
      </c>
      <c r="DV9" s="32" t="s">
        <v>46</v>
      </c>
      <c r="DW9" s="32" t="s">
        <v>46</v>
      </c>
      <c r="DX9" s="32" t="s">
        <v>46</v>
      </c>
      <c r="DY9" s="32" t="s">
        <v>46</v>
      </c>
      <c r="DZ9" s="69"/>
      <c r="EA9" s="69"/>
      <c r="EB9" s="69"/>
      <c r="EC9" s="69"/>
      <c r="ED9" s="51"/>
      <c r="EE9" s="94"/>
      <c r="EF9" s="88"/>
      <c r="EG9" s="89"/>
    </row>
    <row r="10" spans="1:138" s="5" customFormat="1" ht="15" customHeight="1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58"/>
      <c r="U10" s="15"/>
      <c r="V10" s="16" t="s">
        <v>49</v>
      </c>
      <c r="W10" s="16" t="s">
        <v>49</v>
      </c>
      <c r="X10" s="16" t="s">
        <v>49</v>
      </c>
      <c r="Y10" s="16" t="s">
        <v>49</v>
      </c>
      <c r="Z10" s="16" t="s">
        <v>49</v>
      </c>
      <c r="AA10" s="16" t="s">
        <v>49</v>
      </c>
      <c r="AB10" s="16" t="s">
        <v>49</v>
      </c>
      <c r="AC10" s="16" t="s">
        <v>49</v>
      </c>
      <c r="AD10" s="16" t="s">
        <v>49</v>
      </c>
      <c r="AE10" s="16" t="s">
        <v>49</v>
      </c>
      <c r="AF10" s="16" t="s">
        <v>49</v>
      </c>
      <c r="AG10" s="16" t="s">
        <v>49</v>
      </c>
      <c r="AH10" s="16" t="s">
        <v>49</v>
      </c>
      <c r="AI10" s="16" t="s">
        <v>49</v>
      </c>
      <c r="AJ10" s="16" t="s">
        <v>49</v>
      </c>
      <c r="AK10" s="16" t="s">
        <v>49</v>
      </c>
      <c r="AL10" s="16" t="s">
        <v>49</v>
      </c>
      <c r="AM10" s="16" t="s">
        <v>49</v>
      </c>
      <c r="AN10" s="16" t="s">
        <v>49</v>
      </c>
      <c r="AO10" s="16" t="s">
        <v>49</v>
      </c>
      <c r="AP10" s="70"/>
      <c r="AQ10" s="70"/>
      <c r="AR10" s="16" t="s">
        <v>49</v>
      </c>
      <c r="AS10" s="16" t="s">
        <v>49</v>
      </c>
      <c r="AT10" s="16" t="s">
        <v>49</v>
      </c>
      <c r="AU10" s="16" t="s">
        <v>49</v>
      </c>
      <c r="AV10" s="16" t="s">
        <v>49</v>
      </c>
      <c r="AW10" s="16" t="s">
        <v>49</v>
      </c>
      <c r="AX10" s="16" t="s">
        <v>49</v>
      </c>
      <c r="AY10" s="16" t="s">
        <v>49</v>
      </c>
      <c r="AZ10" s="16" t="s">
        <v>49</v>
      </c>
      <c r="BA10" s="16" t="s">
        <v>49</v>
      </c>
      <c r="BB10" s="16" t="s">
        <v>49</v>
      </c>
      <c r="BC10" s="16" t="s">
        <v>49</v>
      </c>
      <c r="BD10" s="16" t="s">
        <v>49</v>
      </c>
      <c r="BE10" s="16" t="s">
        <v>49</v>
      </c>
      <c r="BF10" s="16" t="s">
        <v>49</v>
      </c>
      <c r="BG10" s="16" t="s">
        <v>49</v>
      </c>
      <c r="BH10" s="16" t="s">
        <v>49</v>
      </c>
      <c r="BI10" s="16" t="s">
        <v>49</v>
      </c>
      <c r="BJ10" s="16" t="s">
        <v>49</v>
      </c>
      <c r="BK10" s="16" t="s">
        <v>49</v>
      </c>
      <c r="BL10" s="70"/>
      <c r="BM10" s="70"/>
      <c r="BN10" s="16" t="s">
        <v>49</v>
      </c>
      <c r="BO10" s="16" t="s">
        <v>49</v>
      </c>
      <c r="BP10" s="16" t="s">
        <v>49</v>
      </c>
      <c r="BQ10" s="16" t="s">
        <v>49</v>
      </c>
      <c r="BR10" s="16" t="s">
        <v>49</v>
      </c>
      <c r="BS10" s="16" t="s">
        <v>49</v>
      </c>
      <c r="BT10" s="16" t="s">
        <v>49</v>
      </c>
      <c r="BU10" s="16" t="s">
        <v>49</v>
      </c>
      <c r="BV10" s="16" t="s">
        <v>49</v>
      </c>
      <c r="BW10" s="16" t="s">
        <v>49</v>
      </c>
      <c r="BX10" s="16" t="s">
        <v>49</v>
      </c>
      <c r="BY10" s="16" t="s">
        <v>49</v>
      </c>
      <c r="BZ10" s="16" t="s">
        <v>49</v>
      </c>
      <c r="CA10" s="16" t="s">
        <v>49</v>
      </c>
      <c r="CB10" s="16" t="s">
        <v>49</v>
      </c>
      <c r="CC10" s="16" t="s">
        <v>49</v>
      </c>
      <c r="CD10" s="16" t="s">
        <v>49</v>
      </c>
      <c r="CE10" s="16" t="s">
        <v>49</v>
      </c>
      <c r="CF10" s="16" t="s">
        <v>49</v>
      </c>
      <c r="CG10" s="16" t="s">
        <v>49</v>
      </c>
      <c r="CH10" s="70"/>
      <c r="CI10" s="70"/>
      <c r="CJ10" s="16" t="s">
        <v>49</v>
      </c>
      <c r="CK10" s="16" t="s">
        <v>49</v>
      </c>
      <c r="CL10" s="16" t="s">
        <v>49</v>
      </c>
      <c r="CM10" s="16" t="s">
        <v>49</v>
      </c>
      <c r="CN10" s="16" t="s">
        <v>49</v>
      </c>
      <c r="CO10" s="16" t="s">
        <v>49</v>
      </c>
      <c r="CP10" s="16" t="s">
        <v>49</v>
      </c>
      <c r="CQ10" s="16" t="s">
        <v>49</v>
      </c>
      <c r="CR10" s="16" t="s">
        <v>49</v>
      </c>
      <c r="CS10" s="16" t="s">
        <v>49</v>
      </c>
      <c r="CT10" s="16" t="s">
        <v>49</v>
      </c>
      <c r="CU10" s="16" t="s">
        <v>49</v>
      </c>
      <c r="CV10" s="16" t="s">
        <v>49</v>
      </c>
      <c r="CW10" s="16" t="s">
        <v>49</v>
      </c>
      <c r="CX10" s="16" t="s">
        <v>49</v>
      </c>
      <c r="CY10" s="16" t="s">
        <v>49</v>
      </c>
      <c r="CZ10" s="16" t="s">
        <v>49</v>
      </c>
      <c r="DA10" s="16" t="s">
        <v>49</v>
      </c>
      <c r="DB10" s="16" t="s">
        <v>49</v>
      </c>
      <c r="DC10" s="16" t="s">
        <v>49</v>
      </c>
      <c r="DD10" s="70"/>
      <c r="DE10" s="70"/>
      <c r="DF10" s="16" t="s">
        <v>49</v>
      </c>
      <c r="DG10" s="16" t="s">
        <v>49</v>
      </c>
      <c r="DH10" s="16" t="s">
        <v>49</v>
      </c>
      <c r="DI10" s="16" t="s">
        <v>49</v>
      </c>
      <c r="DJ10" s="16" t="s">
        <v>49</v>
      </c>
      <c r="DK10" s="16" t="s">
        <v>49</v>
      </c>
      <c r="DL10" s="16" t="s">
        <v>49</v>
      </c>
      <c r="DM10" s="16" t="s">
        <v>49</v>
      </c>
      <c r="DN10" s="16" t="s">
        <v>49</v>
      </c>
      <c r="DO10" s="16" t="s">
        <v>49</v>
      </c>
      <c r="DP10" s="16" t="s">
        <v>49</v>
      </c>
      <c r="DQ10" s="16" t="s">
        <v>49</v>
      </c>
      <c r="DR10" s="16" t="s">
        <v>49</v>
      </c>
      <c r="DS10" s="16" t="s">
        <v>49</v>
      </c>
      <c r="DT10" s="16" t="s">
        <v>49</v>
      </c>
      <c r="DU10" s="16" t="s">
        <v>49</v>
      </c>
      <c r="DV10" s="16" t="s">
        <v>49</v>
      </c>
      <c r="DW10" s="16" t="s">
        <v>49</v>
      </c>
      <c r="DX10" s="16" t="s">
        <v>49</v>
      </c>
      <c r="DY10" s="16" t="s">
        <v>49</v>
      </c>
      <c r="DZ10" s="70"/>
      <c r="EA10" s="70"/>
      <c r="EB10" s="70"/>
      <c r="EC10" s="70"/>
      <c r="ED10" s="50"/>
      <c r="EE10" s="95"/>
      <c r="EF10" s="90"/>
      <c r="EG10" s="91"/>
    </row>
    <row r="11" spans="1:138" ht="15" customHeight="1" x14ac:dyDescent="0.2">
      <c r="A11" s="6" t="s">
        <v>2</v>
      </c>
      <c r="B11" s="6" t="s">
        <v>1</v>
      </c>
      <c r="C11" s="12" t="s">
        <v>4</v>
      </c>
      <c r="D11" s="12" t="s">
        <v>83</v>
      </c>
      <c r="E11" s="12" t="s">
        <v>80</v>
      </c>
      <c r="F11" s="12" t="s">
        <v>84</v>
      </c>
      <c r="G11" s="12" t="s">
        <v>61</v>
      </c>
      <c r="H11" s="12" t="s">
        <v>62</v>
      </c>
      <c r="I11" s="12" t="s">
        <v>63</v>
      </c>
      <c r="J11" s="12" t="s">
        <v>70</v>
      </c>
      <c r="K11" s="12" t="s">
        <v>71</v>
      </c>
      <c r="L11" s="12" t="s">
        <v>64</v>
      </c>
      <c r="M11" s="12" t="s">
        <v>65</v>
      </c>
      <c r="N11" s="12" t="s">
        <v>66</v>
      </c>
      <c r="O11" s="12" t="s">
        <v>72</v>
      </c>
      <c r="P11" s="12" t="s">
        <v>73</v>
      </c>
      <c r="Q11" s="7" t="s">
        <v>3</v>
      </c>
      <c r="R11" s="7" t="s">
        <v>53</v>
      </c>
      <c r="S11" s="6" t="s">
        <v>5</v>
      </c>
      <c r="T11" s="9" t="s">
        <v>91</v>
      </c>
      <c r="U11" s="6" t="e">
        <f>VLOOKUP(S11,$A$18:$B$29,2,FALSE)</f>
        <v>#N/A</v>
      </c>
      <c r="V11" s="19" t="s">
        <v>8</v>
      </c>
      <c r="W11" s="19" t="s">
        <v>8</v>
      </c>
      <c r="X11" s="19" t="s">
        <v>8</v>
      </c>
      <c r="Y11" s="19" t="s">
        <v>8</v>
      </c>
      <c r="Z11" s="19" t="s">
        <v>8</v>
      </c>
      <c r="AA11" s="19" t="s">
        <v>8</v>
      </c>
      <c r="AB11" s="19" t="s">
        <v>8</v>
      </c>
      <c r="AC11" s="19" t="s">
        <v>8</v>
      </c>
      <c r="AD11" s="19" t="s">
        <v>8</v>
      </c>
      <c r="AE11" s="19" t="s">
        <v>8</v>
      </c>
      <c r="AF11" s="19" t="s">
        <v>8</v>
      </c>
      <c r="AG11" s="19" t="s">
        <v>8</v>
      </c>
      <c r="AH11" s="19" t="s">
        <v>8</v>
      </c>
      <c r="AI11" s="19" t="s">
        <v>8</v>
      </c>
      <c r="AJ11" s="19" t="s">
        <v>8</v>
      </c>
      <c r="AK11" s="19" t="s">
        <v>8</v>
      </c>
      <c r="AL11" s="19" t="s">
        <v>8</v>
      </c>
      <c r="AM11" s="19" t="s">
        <v>8</v>
      </c>
      <c r="AN11" s="19" t="s">
        <v>8</v>
      </c>
      <c r="AO11" s="19" t="s">
        <v>8</v>
      </c>
      <c r="AP11" s="31">
        <f>SUMIF(V11:AO11,1,V$9:AO$9)
+SUMIF(V11:AO11,2,V$9:AO$9)*0.5
+SUMIF(V11:AO11,3,V$9:AO$9)</f>
        <v>0</v>
      </c>
      <c r="AQ11" s="20">
        <f>SUMIF(V11:AO11,1,V$10:AO$10)
+SUMIF(V11:AO11,2,V$10:AO$10)*0.5</f>
        <v>0</v>
      </c>
      <c r="AR11" s="19" t="s">
        <v>8</v>
      </c>
      <c r="AS11" s="19" t="s">
        <v>8</v>
      </c>
      <c r="AT11" s="19" t="s">
        <v>8</v>
      </c>
      <c r="AU11" s="19" t="s">
        <v>8</v>
      </c>
      <c r="AV11" s="19" t="s">
        <v>8</v>
      </c>
      <c r="AW11" s="19" t="s">
        <v>8</v>
      </c>
      <c r="AX11" s="19" t="s">
        <v>8</v>
      </c>
      <c r="AY11" s="19" t="s">
        <v>8</v>
      </c>
      <c r="AZ11" s="19" t="s">
        <v>8</v>
      </c>
      <c r="BA11" s="19" t="s">
        <v>8</v>
      </c>
      <c r="BB11" s="19" t="s">
        <v>8</v>
      </c>
      <c r="BC11" s="19" t="s">
        <v>8</v>
      </c>
      <c r="BD11" s="19" t="s">
        <v>8</v>
      </c>
      <c r="BE11" s="19" t="s">
        <v>8</v>
      </c>
      <c r="BF11" s="19" t="s">
        <v>8</v>
      </c>
      <c r="BG11" s="19" t="s">
        <v>8</v>
      </c>
      <c r="BH11" s="19" t="s">
        <v>8</v>
      </c>
      <c r="BI11" s="19" t="s">
        <v>8</v>
      </c>
      <c r="BJ11" s="19" t="s">
        <v>8</v>
      </c>
      <c r="BK11" s="19" t="s">
        <v>8</v>
      </c>
      <c r="BL11" s="31">
        <f>SUMIF(AR11:BK11,1,AR$9:BK$9)
+SUMIF(AR11:BK11,2,AR$9:BK$9)*0.5
+SUMIF(AR11:BK11,3,AR$9:BK$9)</f>
        <v>0</v>
      </c>
      <c r="BM11" s="20">
        <f>SUMIF(AR11:BK11,1,AR$10:BK$10)
+SUMIF(AR11:BK11,2,AR$10:BK$10)*0.5</f>
        <v>0</v>
      </c>
      <c r="BN11" s="19" t="s">
        <v>8</v>
      </c>
      <c r="BO11" s="19" t="s">
        <v>8</v>
      </c>
      <c r="BP11" s="19" t="s">
        <v>8</v>
      </c>
      <c r="BQ11" s="19" t="s">
        <v>8</v>
      </c>
      <c r="BR11" s="19" t="s">
        <v>8</v>
      </c>
      <c r="BS11" s="19" t="s">
        <v>8</v>
      </c>
      <c r="BT11" s="19" t="s">
        <v>8</v>
      </c>
      <c r="BU11" s="19" t="s">
        <v>8</v>
      </c>
      <c r="BV11" s="19" t="s">
        <v>8</v>
      </c>
      <c r="BW11" s="19" t="s">
        <v>8</v>
      </c>
      <c r="BX11" s="19" t="s">
        <v>8</v>
      </c>
      <c r="BY11" s="19" t="s">
        <v>8</v>
      </c>
      <c r="BZ11" s="19" t="s">
        <v>8</v>
      </c>
      <c r="CA11" s="19" t="s">
        <v>8</v>
      </c>
      <c r="CB11" s="19" t="s">
        <v>8</v>
      </c>
      <c r="CC11" s="19" t="s">
        <v>8</v>
      </c>
      <c r="CD11" s="19" t="s">
        <v>8</v>
      </c>
      <c r="CE11" s="19" t="s">
        <v>8</v>
      </c>
      <c r="CF11" s="19" t="s">
        <v>8</v>
      </c>
      <c r="CG11" s="19" t="s">
        <v>8</v>
      </c>
      <c r="CH11" s="31">
        <f>SUMIF(BN11:CG11,1,BN$9:CG$9)
+SUMIF(BN11:CG11,2,BN$9:CG$9)*0.5
+SUMIF(BN11:CG11,3,BN$9:CG$9)</f>
        <v>0</v>
      </c>
      <c r="CI11" s="20">
        <f>SUMIF(BN11:CG11,1,BN$10:CG$10)
+SUMIF(BN11:CG11,2,BN$10:CG$10)*0.5</f>
        <v>0</v>
      </c>
      <c r="CJ11" s="19" t="s">
        <v>8</v>
      </c>
      <c r="CK11" s="19" t="s">
        <v>8</v>
      </c>
      <c r="CL11" s="19" t="s">
        <v>8</v>
      </c>
      <c r="CM11" s="19" t="s">
        <v>8</v>
      </c>
      <c r="CN11" s="19" t="s">
        <v>8</v>
      </c>
      <c r="CO11" s="19" t="s">
        <v>8</v>
      </c>
      <c r="CP11" s="19" t="s">
        <v>8</v>
      </c>
      <c r="CQ11" s="19" t="s">
        <v>8</v>
      </c>
      <c r="CR11" s="19" t="s">
        <v>8</v>
      </c>
      <c r="CS11" s="19" t="s">
        <v>8</v>
      </c>
      <c r="CT11" s="19" t="s">
        <v>8</v>
      </c>
      <c r="CU11" s="19" t="s">
        <v>8</v>
      </c>
      <c r="CV11" s="19" t="s">
        <v>8</v>
      </c>
      <c r="CW11" s="19" t="s">
        <v>8</v>
      </c>
      <c r="CX11" s="19" t="s">
        <v>8</v>
      </c>
      <c r="CY11" s="19" t="s">
        <v>8</v>
      </c>
      <c r="CZ11" s="19" t="s">
        <v>8</v>
      </c>
      <c r="DA11" s="19" t="s">
        <v>8</v>
      </c>
      <c r="DB11" s="19" t="s">
        <v>8</v>
      </c>
      <c r="DC11" s="19" t="s">
        <v>8</v>
      </c>
      <c r="DD11" s="31">
        <f>SUMIF(CJ11:DC11,1,CJ$9:DC$9)
+SUMIF(CJ11:DC11,2,CJ$9:DC$9)*0.5
+SUMIF(CJ11:DC11,3,CJ$9:DC$9)</f>
        <v>0</v>
      </c>
      <c r="DE11" s="20">
        <f>SUMIF(CJ11:DC11,1,CJ$10:DC$10)
+SUMIF(CJ11:DC11,2,CJ$10:DC$10)*0.5</f>
        <v>0</v>
      </c>
      <c r="DF11" s="19" t="s">
        <v>8</v>
      </c>
      <c r="DG11" s="19" t="s">
        <v>8</v>
      </c>
      <c r="DH11" s="19" t="s">
        <v>8</v>
      </c>
      <c r="DI11" s="19" t="s">
        <v>8</v>
      </c>
      <c r="DJ11" s="19" t="s">
        <v>8</v>
      </c>
      <c r="DK11" s="19" t="s">
        <v>8</v>
      </c>
      <c r="DL11" s="19" t="s">
        <v>8</v>
      </c>
      <c r="DM11" s="19" t="s">
        <v>8</v>
      </c>
      <c r="DN11" s="19" t="s">
        <v>8</v>
      </c>
      <c r="DO11" s="19" t="s">
        <v>8</v>
      </c>
      <c r="DP11" s="19" t="s">
        <v>8</v>
      </c>
      <c r="DQ11" s="19" t="s">
        <v>8</v>
      </c>
      <c r="DR11" s="19" t="s">
        <v>8</v>
      </c>
      <c r="DS11" s="19" t="s">
        <v>8</v>
      </c>
      <c r="DT11" s="19" t="s">
        <v>8</v>
      </c>
      <c r="DU11" s="19" t="s">
        <v>8</v>
      </c>
      <c r="DV11" s="19" t="s">
        <v>8</v>
      </c>
      <c r="DW11" s="19" t="s">
        <v>8</v>
      </c>
      <c r="DX11" s="19" t="s">
        <v>8</v>
      </c>
      <c r="DY11" s="19" t="s">
        <v>8</v>
      </c>
      <c r="DZ11" s="31">
        <f>SUMIF(DF11:DY11,1,DF$9:DY$9)
+SUMIF(DF11:DY11,2,DF$9:DY$9)*0.5
+SUMIF(DF11:DY11,3,DF$9:DY$9)</f>
        <v>0</v>
      </c>
      <c r="EA11" s="20">
        <f>SUMIF(DF11:DY11,1,DF$10:DY$10)
+SUMIF(DF11:DY11,2,DF$10:DY$10)*0.5</f>
        <v>0</v>
      </c>
      <c r="EB11" s="31">
        <f>SUM(DZ11,AP11,BL11,CH11,DD11)</f>
        <v>0</v>
      </c>
      <c r="EC11" s="21">
        <f>SUM(EA11,AQ11,BM11,CI11,DE11)</f>
        <v>0</v>
      </c>
      <c r="ED11" s="21" t="s">
        <v>90</v>
      </c>
      <c r="EE11" s="48" t="s">
        <v>77</v>
      </c>
      <c r="EF11" s="96" t="s">
        <v>74</v>
      </c>
      <c r="EG11" s="97"/>
      <c r="EH11" s="35" t="s">
        <v>11</v>
      </c>
    </row>
    <row r="12" spans="1:138" x14ac:dyDescent="0.2">
      <c r="A12" s="61" t="s">
        <v>85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3"/>
      <c r="S12" s="13">
        <f>COUNTIF(statusKategorie,$B$33)</f>
        <v>0</v>
      </c>
      <c r="T12" s="13"/>
      <c r="U12" s="13"/>
      <c r="V12" s="13">
        <f>COUNTIFS(angemeldet1,"&gt;0",statusKategorie,$B$33)</f>
        <v>0</v>
      </c>
      <c r="W12" s="13">
        <f>COUNTIFS(angemeldet2,"&gt;0",statusKategorie,$B$33)</f>
        <v>0</v>
      </c>
      <c r="X12" s="13">
        <f>COUNTIFS(angemeldet3,"&gt;0",statusKategorie,$B$33)</f>
        <v>0</v>
      </c>
      <c r="Y12" s="13">
        <f>COUNTIFS(angemeldet4,"&gt;0",statusKategorie,$B$33)</f>
        <v>0</v>
      </c>
      <c r="Z12" s="13">
        <f>COUNTIFS(angemeldet5,"&gt;0",statusKategorie,$B$33)</f>
        <v>0</v>
      </c>
      <c r="AA12" s="13">
        <f>COUNTIFS(angemeldet6,"&gt;0",statusKategorie,$B$33)</f>
        <v>0</v>
      </c>
      <c r="AB12" s="13">
        <f>COUNTIFS(angemeldet7,"&gt;0",statusKategorie,$B$33)</f>
        <v>0</v>
      </c>
      <c r="AC12" s="13">
        <f>COUNTIFS(angemeldet8,"&gt;0",statusKategorie,$B$33)</f>
        <v>0</v>
      </c>
      <c r="AD12" s="13">
        <f>COUNTIFS(angemeldet9,"&gt;0",statusKategorie,$B$33)</f>
        <v>0</v>
      </c>
      <c r="AE12" s="13">
        <f>COUNTIFS(angemeldet10,"&gt;0",statusKategorie,$B$33)</f>
        <v>0</v>
      </c>
      <c r="AF12" s="13">
        <f>COUNTIFS(angemeldet11,"&gt;0",statusKategorie,$B$33)</f>
        <v>0</v>
      </c>
      <c r="AG12" s="13">
        <f>COUNTIFS(angemeldet12,"&gt;0",statusKategorie,$B$33)</f>
        <v>0</v>
      </c>
      <c r="AH12" s="13">
        <f>COUNTIFS(angemeldet13,"&gt;0",statusKategorie,$B$33)</f>
        <v>0</v>
      </c>
      <c r="AI12" s="13">
        <f>COUNTIFS(angemeldet14,"&gt;0",statusKategorie,$B$33)</f>
        <v>0</v>
      </c>
      <c r="AJ12" s="13">
        <f>COUNTIFS(angemeldet15,"&gt;0",statusKategorie,$B$33)</f>
        <v>0</v>
      </c>
      <c r="AK12" s="13">
        <f>COUNTIFS(angemeldet16,"&gt;0",statusKategorie,$B$33)</f>
        <v>0</v>
      </c>
      <c r="AL12" s="13">
        <f>COUNTIFS(angemeldet17,"&gt;0",statusKategorie,$B$33)</f>
        <v>0</v>
      </c>
      <c r="AM12" s="13">
        <f>COUNTIFS(angemeldet18,"&gt;0",statusKategorie,$B$33)</f>
        <v>0</v>
      </c>
      <c r="AN12" s="13">
        <f>COUNTIFS(angemeldet19,"&gt;0",statusKategorie,$B$33)</f>
        <v>0</v>
      </c>
      <c r="AO12" s="13">
        <f>COUNTIFS(angemeldet20,"&gt;0",statusKategorie,$B$33)</f>
        <v>0</v>
      </c>
      <c r="AP12" s="32">
        <f>SUMIFS(summeStundenMo,statusKategorie,$B$33)</f>
        <v>0</v>
      </c>
      <c r="AQ12" s="16">
        <f>SUMIFS(summeVerpflegungMo,statusKategorie,$B$33)</f>
        <v>0</v>
      </c>
      <c r="AR12" s="13">
        <f>COUNTIFS(angemeldet21,"&gt;0",statusKategorie,$B$33)</f>
        <v>0</v>
      </c>
      <c r="AS12" s="13">
        <f>COUNTIFS(angemeldet22,"&gt;0",statusKategorie,$B$33)</f>
        <v>0</v>
      </c>
      <c r="AT12" s="13">
        <f>COUNTIFS(angemeldet23,"&gt;0",statusKategorie,$B$33)</f>
        <v>0</v>
      </c>
      <c r="AU12" s="13">
        <f>COUNTIFS(angemeldet24,"&gt;0",statusKategorie,$B$33)</f>
        <v>0</v>
      </c>
      <c r="AV12" s="13">
        <f>COUNTIFS(angemeldet25,"&gt;0",statusKategorie,$B$33)</f>
        <v>0</v>
      </c>
      <c r="AW12" s="13">
        <f>COUNTIFS(angemeldet26,"&gt;0",statusKategorie,$B$33)</f>
        <v>0</v>
      </c>
      <c r="AX12" s="13">
        <f>COUNTIFS(angemeldet27,"&gt;0",statusKategorie,$B$33)</f>
        <v>0</v>
      </c>
      <c r="AY12" s="13">
        <f>COUNTIFS(angemeldet28,"&gt;0",statusKategorie,$B$33)</f>
        <v>0</v>
      </c>
      <c r="AZ12" s="13">
        <f>COUNTIFS(angemeldet29,"&gt;0",statusKategorie,$B$33)</f>
        <v>0</v>
      </c>
      <c r="BA12" s="13">
        <f>COUNTIFS(angemeldet30,"&gt;0",statusKategorie,$B$33)</f>
        <v>0</v>
      </c>
      <c r="BB12" s="13">
        <f>COUNTIFS(angemeldet31,"&gt;0",statusKategorie,$B$33)</f>
        <v>0</v>
      </c>
      <c r="BC12" s="13">
        <f>COUNTIFS(angemeldet32,"&gt;0",statusKategorie,$B$33)</f>
        <v>0</v>
      </c>
      <c r="BD12" s="13">
        <f>COUNTIFS(angemeldet33,"&gt;0",statusKategorie,$B$33)</f>
        <v>0</v>
      </c>
      <c r="BE12" s="13">
        <f>COUNTIFS(angemeldet34,"&gt;0",statusKategorie,$B$33)</f>
        <v>0</v>
      </c>
      <c r="BF12" s="13">
        <f>COUNTIFS(angemeldet35,"&gt;0",statusKategorie,$B$33)</f>
        <v>0</v>
      </c>
      <c r="BG12" s="13">
        <f>COUNTIFS(angemeldet36,"&gt;0",statusKategorie,$B$33)</f>
        <v>0</v>
      </c>
      <c r="BH12" s="13">
        <f>COUNTIFS(angemeldet37,"&gt;0",statusKategorie,$B$33)</f>
        <v>0</v>
      </c>
      <c r="BI12" s="13">
        <f>COUNTIFS(angemeldet38,"&gt;0",statusKategorie,$B$33)</f>
        <v>0</v>
      </c>
      <c r="BJ12" s="13">
        <f>COUNTIFS(angemeldet39,"&gt;0",statusKategorie,$B$33)</f>
        <v>0</v>
      </c>
      <c r="BK12" s="13">
        <f>COUNTIFS(angemeldet40,"&gt;0",statusKategorie,$B$33)</f>
        <v>0</v>
      </c>
      <c r="BL12" s="32">
        <f>SUMIFS(summeStundenDi,statusKategorie,$B$33)</f>
        <v>0</v>
      </c>
      <c r="BM12" s="16">
        <f>SUMIFS(summeVerpflegungDi,statusKategorie,$B$33)</f>
        <v>0</v>
      </c>
      <c r="BN12" s="13">
        <f>COUNTIFS(angemeldet41,"&gt;0",statusKategorie,$B$33)</f>
        <v>0</v>
      </c>
      <c r="BO12" s="13">
        <f>COUNTIFS(angemeldet42,"&gt;0",statusKategorie,$B$33)</f>
        <v>0</v>
      </c>
      <c r="BP12" s="13">
        <f>COUNTIFS(angemeldet43,"&gt;0",statusKategorie,$B$33)</f>
        <v>0</v>
      </c>
      <c r="BQ12" s="13">
        <f>COUNTIFS(angemeldet44,"&gt;0",statusKategorie,$B$33)</f>
        <v>0</v>
      </c>
      <c r="BR12" s="13">
        <f>COUNTIFS(angemeldet45,"&gt;0",statusKategorie,$B$33)</f>
        <v>0</v>
      </c>
      <c r="BS12" s="13">
        <f>COUNTIFS(angemeldet46,"&gt;0",statusKategorie,$B$33)</f>
        <v>0</v>
      </c>
      <c r="BT12" s="13">
        <f>COUNTIFS(angemeldet47,"&gt;0",statusKategorie,$B$33)</f>
        <v>0</v>
      </c>
      <c r="BU12" s="13">
        <f>COUNTIFS(angemeldet48,"&gt;0",statusKategorie,$B$33)</f>
        <v>0</v>
      </c>
      <c r="BV12" s="13">
        <f>COUNTIFS(angemeldet49,"&gt;0",statusKategorie,$B$33)</f>
        <v>0</v>
      </c>
      <c r="BW12" s="13">
        <f>COUNTIFS(angemeldet50,"&gt;0",statusKategorie,$B$33)</f>
        <v>0</v>
      </c>
      <c r="BX12" s="13">
        <f>COUNTIFS(angemeldet51,"&gt;0",statusKategorie,$B$33)</f>
        <v>0</v>
      </c>
      <c r="BY12" s="13">
        <f>COUNTIFS(angemeldet52,"&gt;0",statusKategorie,$B$33)</f>
        <v>0</v>
      </c>
      <c r="BZ12" s="13">
        <f>COUNTIFS(angemeldet53,"&gt;0",statusKategorie,$B$33)</f>
        <v>0</v>
      </c>
      <c r="CA12" s="13">
        <f>COUNTIFS(angemeldet54,"&gt;0",statusKategorie,$B$33)</f>
        <v>0</v>
      </c>
      <c r="CB12" s="13">
        <f>COUNTIFS(angemeldet55,"&gt;0",statusKategorie,$B$33)</f>
        <v>0</v>
      </c>
      <c r="CC12" s="13">
        <f>COUNTIFS(angemeldet56,"&gt;0",statusKategorie,$B$33)</f>
        <v>0</v>
      </c>
      <c r="CD12" s="13">
        <f>COUNTIFS(angemeldet57,"&gt;0",statusKategorie,$B$33)</f>
        <v>0</v>
      </c>
      <c r="CE12" s="13">
        <f>COUNTIFS(angemeldet58,"&gt;0",statusKategorie,$B$33)</f>
        <v>0</v>
      </c>
      <c r="CF12" s="13">
        <f>COUNTIFS(angemeldet59,"&gt;0",statusKategorie,$B$33)</f>
        <v>0</v>
      </c>
      <c r="CG12" s="13">
        <f>COUNTIFS(angemeldet60,"&gt;0",statusKategorie,$B$33)</f>
        <v>0</v>
      </c>
      <c r="CH12" s="32">
        <f>SUMIFS(summeStundenMi,statusKategorie,$B$33)</f>
        <v>0</v>
      </c>
      <c r="CI12" s="16">
        <f>SUMIFS(summeVerpflegungMi,statusKategorie,$B$33)</f>
        <v>0</v>
      </c>
      <c r="CJ12" s="13">
        <f>COUNTIFS(angemeldet61,"&gt;0",statusKategorie,$B$33)</f>
        <v>0</v>
      </c>
      <c r="CK12" s="13">
        <f>COUNTIFS(angemeldet62,"&gt;0",statusKategorie,$B$33)</f>
        <v>0</v>
      </c>
      <c r="CL12" s="13">
        <f>COUNTIFS(angemeldet63,"&gt;0",statusKategorie,$B$33)</f>
        <v>0</v>
      </c>
      <c r="CM12" s="13">
        <f>COUNTIFS(angemeldet64,"&gt;0",statusKategorie,$B$33)</f>
        <v>0</v>
      </c>
      <c r="CN12" s="13">
        <f>COUNTIFS(angemeldet65,"&gt;0",statusKategorie,$B$33)</f>
        <v>0</v>
      </c>
      <c r="CO12" s="13">
        <f>COUNTIFS(angemeldet66,"&gt;0",statusKategorie,$B$33)</f>
        <v>0</v>
      </c>
      <c r="CP12" s="13">
        <f>COUNTIFS(angemeldet67,"&gt;0",statusKategorie,$B$33)</f>
        <v>0</v>
      </c>
      <c r="CQ12" s="13">
        <f>COUNTIFS(angemeldet68,"&gt;0",statusKategorie,$B$33)</f>
        <v>0</v>
      </c>
      <c r="CR12" s="13">
        <f>COUNTIFS(angemeldet69,"&gt;0",statusKategorie,$B$33)</f>
        <v>0</v>
      </c>
      <c r="CS12" s="13">
        <f>COUNTIFS(angemeldet70,"&gt;0",statusKategorie,$B$33)</f>
        <v>0</v>
      </c>
      <c r="CT12" s="13">
        <f>COUNTIFS(angemeldet71,"&gt;0",statusKategorie,$B$33)</f>
        <v>0</v>
      </c>
      <c r="CU12" s="13">
        <f>COUNTIFS(angemeldet72,"&gt;0",statusKategorie,$B$33)</f>
        <v>0</v>
      </c>
      <c r="CV12" s="13">
        <f>COUNTIFS(angemeldet73,"&gt;0",statusKategorie,$B$33)</f>
        <v>0</v>
      </c>
      <c r="CW12" s="13">
        <f>COUNTIFS(angemeldet74,"&gt;0",statusKategorie,$B$33)</f>
        <v>0</v>
      </c>
      <c r="CX12" s="13">
        <f>COUNTIFS(angemeldet75,"&gt;0",statusKategorie,$B$33)</f>
        <v>0</v>
      </c>
      <c r="CY12" s="13">
        <f>COUNTIFS(angemeldet76,"&gt;0",statusKategorie,$B$33)</f>
        <v>0</v>
      </c>
      <c r="CZ12" s="13">
        <f>COUNTIFS(angemeldet77,"&gt;0",statusKategorie,$B$33)</f>
        <v>0</v>
      </c>
      <c r="DA12" s="13">
        <f>COUNTIFS(angemeldet78,"&gt;0",statusKategorie,$B$33)</f>
        <v>0</v>
      </c>
      <c r="DB12" s="13">
        <f>COUNTIFS(angemeldet79,"&gt;0",statusKategorie,$B$33)</f>
        <v>0</v>
      </c>
      <c r="DC12" s="13">
        <f>COUNTIFS(angemeldet80,"&gt;0",statusKategorie,$B$33)</f>
        <v>0</v>
      </c>
      <c r="DD12" s="32">
        <f>SUMIFS(summeStundenDo,statusKategorie,$B$33)</f>
        <v>0</v>
      </c>
      <c r="DE12" s="16">
        <f>SUMIFS(summeVerpflegungDo,statusKategorie,$B$33)</f>
        <v>0</v>
      </c>
      <c r="DF12" s="13">
        <f>COUNTIFS(angemeldet81,"&gt;0",statusKategorie,$B$33)</f>
        <v>0</v>
      </c>
      <c r="DG12" s="13">
        <f>COUNTIFS(angemeldet82,"&gt;0",statusKategorie,$B$33)</f>
        <v>0</v>
      </c>
      <c r="DH12" s="13">
        <f>COUNTIFS(angemeldet83,"&gt;0",statusKategorie,$B$33)</f>
        <v>0</v>
      </c>
      <c r="DI12" s="13">
        <f>COUNTIFS(angemeldet84,"&gt;0",statusKategorie,$B$33)</f>
        <v>0</v>
      </c>
      <c r="DJ12" s="13">
        <f>COUNTIFS(angemeldet85,"&gt;0",statusKategorie,$B$33)</f>
        <v>0</v>
      </c>
      <c r="DK12" s="13">
        <f>COUNTIFS(angemeldet86,"&gt;0",statusKategorie,$B$33)</f>
        <v>0</v>
      </c>
      <c r="DL12" s="13">
        <f>COUNTIFS(angemeldet87,"&gt;0",statusKategorie,$B$33)</f>
        <v>0</v>
      </c>
      <c r="DM12" s="13">
        <f>COUNTIFS(angemeldet88,"&gt;0",statusKategorie,$B$33)</f>
        <v>0</v>
      </c>
      <c r="DN12" s="13">
        <f>COUNTIFS(angemeldet89,"&gt;0",statusKategorie,$B$33)</f>
        <v>0</v>
      </c>
      <c r="DO12" s="13">
        <f>COUNTIFS(angemeldet90,"&gt;0",statusKategorie,$B$33)</f>
        <v>0</v>
      </c>
      <c r="DP12" s="13">
        <f>COUNTIFS(angemeldet91,"&gt;0",statusKategorie,$B$33)</f>
        <v>0</v>
      </c>
      <c r="DQ12" s="13">
        <f>COUNTIFS(angemeldet92,"&gt;0",statusKategorie,$B$33)</f>
        <v>0</v>
      </c>
      <c r="DR12" s="13">
        <f>COUNTIFS(angemeldet93,"&gt;0",statusKategorie,$B$33)</f>
        <v>0</v>
      </c>
      <c r="DS12" s="13">
        <f>COUNTIFS(angemeldet94,"&gt;0",statusKategorie,$B$33)</f>
        <v>0</v>
      </c>
      <c r="DT12" s="13">
        <f>COUNTIFS(angemeldet95,"&gt;0",statusKategorie,$B$33)</f>
        <v>0</v>
      </c>
      <c r="DU12" s="13">
        <f>COUNTIFS(angemeldet96,"&gt;0",statusKategorie,$B$33)</f>
        <v>0</v>
      </c>
      <c r="DV12" s="13">
        <f>COUNTIFS(angemeldet97,"&gt;0",statusKategorie,$B$33)</f>
        <v>0</v>
      </c>
      <c r="DW12" s="13">
        <f>COUNTIFS(angemeldet98,"&gt;0",statusKategorie,$B$33)</f>
        <v>0</v>
      </c>
      <c r="DX12" s="13">
        <f>COUNTIFS(angemeldet99,"&gt;0",statusKategorie,$B$33)</f>
        <v>0</v>
      </c>
      <c r="DY12" s="13">
        <f>COUNTIFS(angemeldet100,"&gt;0",statusKategorie,$B$33)</f>
        <v>0</v>
      </c>
      <c r="DZ12" s="32">
        <f>SUMIFS(summeStundenFr,statusKategorie,$B$33)</f>
        <v>0</v>
      </c>
      <c r="EA12" s="16">
        <f>SUMIFS(summeVerpflegungFr,statusKategorie,$B$33)</f>
        <v>0</v>
      </c>
      <c r="EB12" s="32">
        <f>SUMIFS(summeStundenWoche,statusKategorie,$B$33)</f>
        <v>0</v>
      </c>
      <c r="EC12" s="41">
        <f>SUMIFS(summeVerpflegungWoche,statusKategorie,$B$33)</f>
        <v>0</v>
      </c>
      <c r="ED12" s="54"/>
      <c r="EE12" s="45"/>
      <c r="EF12" s="39"/>
      <c r="EG12" s="40"/>
    </row>
    <row r="13" spans="1:138" x14ac:dyDescent="0.2">
      <c r="A13" s="61" t="s">
        <v>86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3"/>
      <c r="S13" s="13">
        <f>COUNTIF(statusKategorie,$B$32)</f>
        <v>0</v>
      </c>
      <c r="T13" s="13"/>
      <c r="U13" s="13"/>
      <c r="V13" s="13">
        <f>COUNTIFS(angemeldet1,"&gt;0",statusKategorie,$B$32)</f>
        <v>0</v>
      </c>
      <c r="W13" s="13">
        <f>COUNTIFS(angemeldet2,"&gt;0",statusKategorie,$B$32)</f>
        <v>0</v>
      </c>
      <c r="X13" s="13">
        <f>COUNTIFS(angemeldet3,"&gt;0",statusKategorie,$B$32)</f>
        <v>0</v>
      </c>
      <c r="Y13" s="13">
        <f>COUNTIFS(angemeldet4,"&gt;0",statusKategorie,$B$32)</f>
        <v>0</v>
      </c>
      <c r="Z13" s="13">
        <f>COUNTIFS(angemeldet5,"&gt;0",statusKategorie,$B$32)</f>
        <v>0</v>
      </c>
      <c r="AA13" s="13">
        <f>COUNTIFS(angemeldet6,"&gt;0",statusKategorie,$B$32)</f>
        <v>0</v>
      </c>
      <c r="AB13" s="13">
        <f>COUNTIFS(angemeldet7,"&gt;0",statusKategorie,$B$32)</f>
        <v>0</v>
      </c>
      <c r="AC13" s="13">
        <f>COUNTIFS(angemeldet8,"&gt;0",statusKategorie,$B$32)</f>
        <v>0</v>
      </c>
      <c r="AD13" s="13">
        <f>COUNTIFS(angemeldet9,"&gt;0",statusKategorie,$B$32)</f>
        <v>0</v>
      </c>
      <c r="AE13" s="13">
        <f>COUNTIFS(angemeldet10,"&gt;0",statusKategorie,$B$32)</f>
        <v>0</v>
      </c>
      <c r="AF13" s="13">
        <f>COUNTIFS(angemeldet11,"&gt;0",statusKategorie,$B$32)</f>
        <v>0</v>
      </c>
      <c r="AG13" s="13">
        <f>COUNTIFS(angemeldet12,"&gt;0",statusKategorie,$B$32)</f>
        <v>0</v>
      </c>
      <c r="AH13" s="13">
        <f>COUNTIFS(angemeldet13,"&gt;0",statusKategorie,$B$32)</f>
        <v>0</v>
      </c>
      <c r="AI13" s="13">
        <f>COUNTIFS(angemeldet14,"&gt;0",statusKategorie,$B$32)</f>
        <v>0</v>
      </c>
      <c r="AJ13" s="13">
        <f>COUNTIFS(angemeldet15,"&gt;0",statusKategorie,$B$32)</f>
        <v>0</v>
      </c>
      <c r="AK13" s="13">
        <f>COUNTIFS(angemeldet16,"&gt;0",statusKategorie,$B$32)</f>
        <v>0</v>
      </c>
      <c r="AL13" s="13">
        <f>COUNTIFS(angemeldet17,"&gt;0",statusKategorie,$B$32)</f>
        <v>0</v>
      </c>
      <c r="AM13" s="13">
        <f>COUNTIFS(angemeldet18,"&gt;0",statusKategorie,$B$32)</f>
        <v>0</v>
      </c>
      <c r="AN13" s="13">
        <f>COUNTIFS(angemeldet19,"&gt;0",statusKategorie,$B$32)</f>
        <v>0</v>
      </c>
      <c r="AO13" s="13">
        <f>COUNTIFS(angemeldet20,"&gt;0",statusKategorie,$B$32)</f>
        <v>0</v>
      </c>
      <c r="AP13" s="32">
        <f>SUMIFS(summeStundenMo,statusKategorie,$B$32)</f>
        <v>0</v>
      </c>
      <c r="AQ13" s="16">
        <f>SUMIFS(summeVerpflegungMo,statusKategorie,$B$32)</f>
        <v>0</v>
      </c>
      <c r="AR13" s="13">
        <f>COUNTIFS(angemeldet21,"&gt;0",statusKategorie,$B$32)</f>
        <v>0</v>
      </c>
      <c r="AS13" s="13">
        <f>COUNTIFS(angemeldet22,"&gt;0",statusKategorie,$B$32)</f>
        <v>0</v>
      </c>
      <c r="AT13" s="13">
        <f>COUNTIFS(angemeldet23,"&gt;0",statusKategorie,$B$32)</f>
        <v>0</v>
      </c>
      <c r="AU13" s="13">
        <f>COUNTIFS(angemeldet24,"&gt;0",statusKategorie,$B$32)</f>
        <v>0</v>
      </c>
      <c r="AV13" s="13">
        <f>COUNTIFS(angemeldet25,"&gt;0",statusKategorie,$B$32)</f>
        <v>0</v>
      </c>
      <c r="AW13" s="13">
        <f>COUNTIFS(angemeldet26,"&gt;0",statusKategorie,$B$32)</f>
        <v>0</v>
      </c>
      <c r="AX13" s="13">
        <f>COUNTIFS(angemeldet27,"&gt;0",statusKategorie,$B$32)</f>
        <v>0</v>
      </c>
      <c r="AY13" s="13">
        <f>COUNTIFS(angemeldet28,"&gt;0",statusKategorie,$B$32)</f>
        <v>0</v>
      </c>
      <c r="AZ13" s="13">
        <f>COUNTIFS(angemeldet29,"&gt;0",statusKategorie,$B$32)</f>
        <v>0</v>
      </c>
      <c r="BA13" s="13">
        <f>COUNTIFS(angemeldet30,"&gt;0",statusKategorie,$B$32)</f>
        <v>0</v>
      </c>
      <c r="BB13" s="13">
        <f>COUNTIFS(angemeldet31,"&gt;0",statusKategorie,$B$32)</f>
        <v>0</v>
      </c>
      <c r="BC13" s="13">
        <f>COUNTIFS(angemeldet32,"&gt;0",statusKategorie,$B$32)</f>
        <v>0</v>
      </c>
      <c r="BD13" s="13">
        <f>COUNTIFS(angemeldet33,"&gt;0",statusKategorie,$B$32)</f>
        <v>0</v>
      </c>
      <c r="BE13" s="13">
        <f>COUNTIFS(angemeldet34,"&gt;0",statusKategorie,$B$32)</f>
        <v>0</v>
      </c>
      <c r="BF13" s="13">
        <f>COUNTIFS(angemeldet35,"&gt;0",statusKategorie,$B$32)</f>
        <v>0</v>
      </c>
      <c r="BG13" s="13">
        <f>COUNTIFS(angemeldet36,"&gt;0",statusKategorie,$B$32)</f>
        <v>0</v>
      </c>
      <c r="BH13" s="13">
        <f>COUNTIFS(angemeldet37,"&gt;0",statusKategorie,$B$32)</f>
        <v>0</v>
      </c>
      <c r="BI13" s="13">
        <f>COUNTIFS(angemeldet38,"&gt;0",statusKategorie,$B$32)</f>
        <v>0</v>
      </c>
      <c r="BJ13" s="13">
        <f>COUNTIFS(angemeldet39,"&gt;0",statusKategorie,$B$32)</f>
        <v>0</v>
      </c>
      <c r="BK13" s="13">
        <f>COUNTIFS(angemeldet40,"&gt;0",statusKategorie,$B$32)</f>
        <v>0</v>
      </c>
      <c r="BL13" s="32">
        <f>SUMIFS(summeStundenDi,statusKategorie,$B$32)</f>
        <v>0</v>
      </c>
      <c r="BM13" s="16">
        <f>SUMIFS(summeVerpflegungDi,statusKategorie,$B$32)</f>
        <v>0</v>
      </c>
      <c r="BN13" s="13">
        <f>COUNTIFS(angemeldet41,"&gt;0",statusKategorie,$B$32)</f>
        <v>0</v>
      </c>
      <c r="BO13" s="13">
        <f>COUNTIFS(angemeldet42,"&gt;0",statusKategorie,$B$32)</f>
        <v>0</v>
      </c>
      <c r="BP13" s="13">
        <f>COUNTIFS(angemeldet43,"&gt;0",statusKategorie,$B$32)</f>
        <v>0</v>
      </c>
      <c r="BQ13" s="13">
        <f>COUNTIFS(angemeldet44,"&gt;0",statusKategorie,$B$32)</f>
        <v>0</v>
      </c>
      <c r="BR13" s="13">
        <f>COUNTIFS(angemeldet45,"&gt;0",statusKategorie,$B$32)</f>
        <v>0</v>
      </c>
      <c r="BS13" s="13">
        <f>COUNTIFS(angemeldet46,"&gt;0",statusKategorie,$B$32)</f>
        <v>0</v>
      </c>
      <c r="BT13" s="13">
        <f>COUNTIFS(angemeldet47,"&gt;0",statusKategorie,$B$32)</f>
        <v>0</v>
      </c>
      <c r="BU13" s="13">
        <f>COUNTIFS(angemeldet48,"&gt;0",statusKategorie,$B$32)</f>
        <v>0</v>
      </c>
      <c r="BV13" s="13">
        <f>COUNTIFS(angemeldet49,"&gt;0",statusKategorie,$B$32)</f>
        <v>0</v>
      </c>
      <c r="BW13" s="13">
        <f>COUNTIFS(angemeldet50,"&gt;0",statusKategorie,$B$32)</f>
        <v>0</v>
      </c>
      <c r="BX13" s="13">
        <f>COUNTIFS(angemeldet51,"&gt;0",statusKategorie,$B$32)</f>
        <v>0</v>
      </c>
      <c r="BY13" s="13">
        <f>COUNTIFS(angemeldet52,"&gt;0",statusKategorie,$B$32)</f>
        <v>0</v>
      </c>
      <c r="BZ13" s="13">
        <f>COUNTIFS(angemeldet53,"&gt;0",statusKategorie,$B$32)</f>
        <v>0</v>
      </c>
      <c r="CA13" s="13">
        <f>COUNTIFS(angemeldet54,"&gt;0",statusKategorie,$B$32)</f>
        <v>0</v>
      </c>
      <c r="CB13" s="13">
        <f>COUNTIFS(angemeldet55,"&gt;0",statusKategorie,$B$32)</f>
        <v>0</v>
      </c>
      <c r="CC13" s="13">
        <f>COUNTIFS(angemeldet56,"&gt;0",statusKategorie,$B$32)</f>
        <v>0</v>
      </c>
      <c r="CD13" s="13">
        <f>COUNTIFS(angemeldet57,"&gt;0",statusKategorie,$B$32)</f>
        <v>0</v>
      </c>
      <c r="CE13" s="13">
        <f>COUNTIFS(angemeldet58,"&gt;0",statusKategorie,$B$32)</f>
        <v>0</v>
      </c>
      <c r="CF13" s="13">
        <f>COUNTIFS(angemeldet59,"&gt;0",statusKategorie,$B$32)</f>
        <v>0</v>
      </c>
      <c r="CG13" s="13">
        <f>COUNTIFS(angemeldet60,"&gt;0",statusKategorie,$B$32)</f>
        <v>0</v>
      </c>
      <c r="CH13" s="32">
        <f>SUMIFS(summeStundenMi,statusKategorie,$B$32)</f>
        <v>0</v>
      </c>
      <c r="CI13" s="16">
        <f>SUMIFS(summeVerpflegungMi,statusKategorie,$B$32)</f>
        <v>0</v>
      </c>
      <c r="CJ13" s="13">
        <f>COUNTIFS(angemeldet61,"&gt;0",statusKategorie,$B$32)</f>
        <v>0</v>
      </c>
      <c r="CK13" s="13">
        <f>COUNTIFS(angemeldet62,"&gt;0",statusKategorie,$B$32)</f>
        <v>0</v>
      </c>
      <c r="CL13" s="13">
        <f>COUNTIFS(angemeldet63,"&gt;0",statusKategorie,$B$32)</f>
        <v>0</v>
      </c>
      <c r="CM13" s="13">
        <f>COUNTIFS(angemeldet64,"&gt;0",statusKategorie,$B$32)</f>
        <v>0</v>
      </c>
      <c r="CN13" s="13">
        <f>COUNTIFS(angemeldet65,"&gt;0",statusKategorie,$B$32)</f>
        <v>0</v>
      </c>
      <c r="CO13" s="13">
        <f>COUNTIFS(angemeldet66,"&gt;0",statusKategorie,$B$32)</f>
        <v>0</v>
      </c>
      <c r="CP13" s="13">
        <f>COUNTIFS(angemeldet67,"&gt;0",statusKategorie,$B$32)</f>
        <v>0</v>
      </c>
      <c r="CQ13" s="13">
        <f>COUNTIFS(angemeldet68,"&gt;0",statusKategorie,$B$32)</f>
        <v>0</v>
      </c>
      <c r="CR13" s="13">
        <f>COUNTIFS(angemeldet69,"&gt;0",statusKategorie,$B$32)</f>
        <v>0</v>
      </c>
      <c r="CS13" s="13">
        <f>COUNTIFS(angemeldet70,"&gt;0",statusKategorie,$B$32)</f>
        <v>0</v>
      </c>
      <c r="CT13" s="13">
        <f>COUNTIFS(angemeldet71,"&gt;0",statusKategorie,$B$32)</f>
        <v>0</v>
      </c>
      <c r="CU13" s="13">
        <f>COUNTIFS(angemeldet72,"&gt;0",statusKategorie,$B$32)</f>
        <v>0</v>
      </c>
      <c r="CV13" s="13">
        <f>COUNTIFS(angemeldet73,"&gt;0",statusKategorie,$B$32)</f>
        <v>0</v>
      </c>
      <c r="CW13" s="13">
        <f>COUNTIFS(angemeldet74,"&gt;0",statusKategorie,$B$32)</f>
        <v>0</v>
      </c>
      <c r="CX13" s="13">
        <f>COUNTIFS(angemeldet75,"&gt;0",statusKategorie,$B$32)</f>
        <v>0</v>
      </c>
      <c r="CY13" s="13">
        <f>COUNTIFS(angemeldet76,"&gt;0",statusKategorie,$B$32)</f>
        <v>0</v>
      </c>
      <c r="CZ13" s="13">
        <f>COUNTIFS(angemeldet77,"&gt;0",statusKategorie,$B$32)</f>
        <v>0</v>
      </c>
      <c r="DA13" s="13">
        <f>COUNTIFS(angemeldet78,"&gt;0",statusKategorie,$B$32)</f>
        <v>0</v>
      </c>
      <c r="DB13" s="13">
        <f>COUNTIFS(angemeldet79,"&gt;0",statusKategorie,$B$32)</f>
        <v>0</v>
      </c>
      <c r="DC13" s="13">
        <f>COUNTIFS(angemeldet80,"&gt;0",statusKategorie,$B$32)</f>
        <v>0</v>
      </c>
      <c r="DD13" s="32">
        <f>SUMIFS(summeStundenDo,statusKategorie,$B$32)</f>
        <v>0</v>
      </c>
      <c r="DE13" s="16">
        <f>SUMIFS(summeVerpflegungDo,statusKategorie,$B$32)</f>
        <v>0</v>
      </c>
      <c r="DF13" s="13">
        <f>COUNTIFS(angemeldet81,"&gt;0",statusKategorie,$B$32)</f>
        <v>0</v>
      </c>
      <c r="DG13" s="13">
        <f>COUNTIFS(angemeldet82,"&gt;0",statusKategorie,$B$32)</f>
        <v>0</v>
      </c>
      <c r="DH13" s="13">
        <f>COUNTIFS(angemeldet83,"&gt;0",statusKategorie,$B$32)</f>
        <v>0</v>
      </c>
      <c r="DI13" s="13">
        <f>COUNTIFS(angemeldet84,"&gt;0",statusKategorie,$B$32)</f>
        <v>0</v>
      </c>
      <c r="DJ13" s="13">
        <f>COUNTIFS(angemeldet85,"&gt;0",statusKategorie,$B$32)</f>
        <v>0</v>
      </c>
      <c r="DK13" s="13">
        <f>COUNTIFS(angemeldet86,"&gt;0",statusKategorie,$B$32)</f>
        <v>0</v>
      </c>
      <c r="DL13" s="13">
        <f>COUNTIFS(angemeldet87,"&gt;0",statusKategorie,$B$32)</f>
        <v>0</v>
      </c>
      <c r="DM13" s="13">
        <f>COUNTIFS(angemeldet88,"&gt;0",statusKategorie,$B$32)</f>
        <v>0</v>
      </c>
      <c r="DN13" s="13">
        <f>COUNTIFS(angemeldet89,"&gt;0",statusKategorie,$B$32)</f>
        <v>0</v>
      </c>
      <c r="DO13" s="13">
        <f>COUNTIFS(angemeldet90,"&gt;0",statusKategorie,$B$32)</f>
        <v>0</v>
      </c>
      <c r="DP13" s="13">
        <f>COUNTIFS(angemeldet91,"&gt;0",statusKategorie,$B$32)</f>
        <v>0</v>
      </c>
      <c r="DQ13" s="13">
        <f>COUNTIFS(angemeldet92,"&gt;0",statusKategorie,$B$32)</f>
        <v>0</v>
      </c>
      <c r="DR13" s="13">
        <f>COUNTIFS(angemeldet93,"&gt;0",statusKategorie,$B$32)</f>
        <v>0</v>
      </c>
      <c r="DS13" s="13">
        <f>COUNTIFS(angemeldet94,"&gt;0",statusKategorie,$B$32)</f>
        <v>0</v>
      </c>
      <c r="DT13" s="13">
        <f>COUNTIFS(angemeldet95,"&gt;0",statusKategorie,$B$32)</f>
        <v>0</v>
      </c>
      <c r="DU13" s="13">
        <f>COUNTIFS(angemeldet96,"&gt;0",statusKategorie,$B$32)</f>
        <v>0</v>
      </c>
      <c r="DV13" s="13">
        <f>COUNTIFS(angemeldet97,"&gt;0",statusKategorie,$B$32)</f>
        <v>0</v>
      </c>
      <c r="DW13" s="13">
        <f>COUNTIFS(angemeldet98,"&gt;0",statusKategorie,$B$32)</f>
        <v>0</v>
      </c>
      <c r="DX13" s="13">
        <f>COUNTIFS(angemeldet99,"&gt;0",statusKategorie,$B$32)</f>
        <v>0</v>
      </c>
      <c r="DY13" s="13">
        <f>COUNTIFS(angemeldet100,"&gt;0",statusKategorie,$B$32)</f>
        <v>0</v>
      </c>
      <c r="DZ13" s="32">
        <f>SUMIFS(summeStundenFr,statusKategorie,$B$32)</f>
        <v>0</v>
      </c>
      <c r="EA13" s="16">
        <f>SUMIFS(summeVerpflegungFr,statusKategorie,$B$32)</f>
        <v>0</v>
      </c>
      <c r="EB13" s="32">
        <f>SUMIFS(summeStundenWoche,statusKategorie,$B$32)</f>
        <v>0</v>
      </c>
      <c r="EC13" s="42">
        <f>SUMIFS(summeVerpflegungWoche,statusKategorie,$B$32)</f>
        <v>0</v>
      </c>
      <c r="ED13" s="55"/>
      <c r="EE13" s="46"/>
      <c r="EF13" s="28"/>
      <c r="EG13" s="44"/>
    </row>
    <row r="14" spans="1:138" x14ac:dyDescent="0.2">
      <c r="A14" s="61" t="s">
        <v>87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3"/>
      <c r="S14" s="13">
        <f>COUNTIF(statusKategorie,$B$31)</f>
        <v>0</v>
      </c>
      <c r="T14" s="13"/>
      <c r="U14" s="13"/>
      <c r="V14" s="13">
        <f>COUNTIFS(angemeldet1,"&gt;0",statusKategorie,$B$31)</f>
        <v>0</v>
      </c>
      <c r="W14" s="13">
        <f>COUNTIFS(angemeldet2,"&gt;0",statusKategorie,$B$31)</f>
        <v>0</v>
      </c>
      <c r="X14" s="13">
        <f>COUNTIFS(angemeldet3,"&gt;0",statusKategorie,$B$31)</f>
        <v>0</v>
      </c>
      <c r="Y14" s="13">
        <f>COUNTIFS(angemeldet4,"&gt;0",statusKategorie,$B$31)</f>
        <v>0</v>
      </c>
      <c r="Z14" s="13">
        <f>COUNTIFS(angemeldet5,"&gt;0",statusKategorie,$B$31)</f>
        <v>0</v>
      </c>
      <c r="AA14" s="13">
        <f>COUNTIFS(angemeldet6,"&gt;0",statusKategorie,$B$31)</f>
        <v>0</v>
      </c>
      <c r="AB14" s="13">
        <f>COUNTIFS(angemeldet7,"&gt;0",statusKategorie,$B$31)</f>
        <v>0</v>
      </c>
      <c r="AC14" s="13">
        <f>COUNTIFS(angemeldet8,"&gt;0",statusKategorie,$B$31)</f>
        <v>0</v>
      </c>
      <c r="AD14" s="13">
        <f>COUNTIFS(angemeldet9,"&gt;0",statusKategorie,$B$31)</f>
        <v>0</v>
      </c>
      <c r="AE14" s="13">
        <f>COUNTIFS(angemeldet10,"&gt;0",statusKategorie,$B$31)</f>
        <v>0</v>
      </c>
      <c r="AF14" s="13">
        <f>COUNTIFS(angemeldet11,"&gt;0",statusKategorie,$B$31)</f>
        <v>0</v>
      </c>
      <c r="AG14" s="13">
        <f>COUNTIFS(angemeldet12,"&gt;0",statusKategorie,$B$31)</f>
        <v>0</v>
      </c>
      <c r="AH14" s="13">
        <f>COUNTIFS(angemeldet13,"&gt;0",statusKategorie,$B$31)</f>
        <v>0</v>
      </c>
      <c r="AI14" s="13">
        <f>COUNTIFS(angemeldet14,"&gt;0",statusKategorie,$B$31)</f>
        <v>0</v>
      </c>
      <c r="AJ14" s="13">
        <f>COUNTIFS(angemeldet15,"&gt;0",statusKategorie,$B$31)</f>
        <v>0</v>
      </c>
      <c r="AK14" s="13">
        <f>COUNTIFS(angemeldet16,"&gt;0",statusKategorie,$B$31)</f>
        <v>0</v>
      </c>
      <c r="AL14" s="13">
        <f>COUNTIFS(angemeldet17,"&gt;0",statusKategorie,$B$31)</f>
        <v>0</v>
      </c>
      <c r="AM14" s="13">
        <f>COUNTIFS(angemeldet18,"&gt;0",statusKategorie,$B$31)</f>
        <v>0</v>
      </c>
      <c r="AN14" s="13">
        <f>COUNTIFS(angemeldet19,"&gt;0",statusKategorie,$B$31)</f>
        <v>0</v>
      </c>
      <c r="AO14" s="13">
        <f>COUNTIFS(angemeldet20,"&gt;0",statusKategorie,$B$31)</f>
        <v>0</v>
      </c>
      <c r="AP14" s="33">
        <f>SUMIFS(summeStundenMo,statusKategorie,$B$31)</f>
        <v>0</v>
      </c>
      <c r="AQ14" s="23">
        <f>SUMIFS(summeVerpflegungMo,statusKategorie,$B$31)</f>
        <v>0</v>
      </c>
      <c r="AR14" s="13">
        <f>COUNTIFS(angemeldet21,"&gt;0",statusKategorie,$B$31)</f>
        <v>0</v>
      </c>
      <c r="AS14" s="13">
        <f>COUNTIFS(angemeldet22,"&gt;0",statusKategorie,$B$31)</f>
        <v>0</v>
      </c>
      <c r="AT14" s="13">
        <f>COUNTIFS(angemeldet23,"&gt;0",statusKategorie,$B$31)</f>
        <v>0</v>
      </c>
      <c r="AU14" s="13">
        <f>COUNTIFS(angemeldet24,"&gt;0",statusKategorie,$B$31)</f>
        <v>0</v>
      </c>
      <c r="AV14" s="13">
        <f>COUNTIFS(angemeldet25,"&gt;0",statusKategorie,$B$31)</f>
        <v>0</v>
      </c>
      <c r="AW14" s="13">
        <f>COUNTIFS(angemeldet26,"&gt;0",statusKategorie,$B$31)</f>
        <v>0</v>
      </c>
      <c r="AX14" s="13">
        <f>COUNTIFS(angemeldet27,"&gt;0",statusKategorie,$B$31)</f>
        <v>0</v>
      </c>
      <c r="AY14" s="13">
        <f>COUNTIFS(angemeldet28,"&gt;0",statusKategorie,$B$31)</f>
        <v>0</v>
      </c>
      <c r="AZ14" s="13">
        <f>COUNTIFS(angemeldet29,"&gt;0",statusKategorie,$B$31)</f>
        <v>0</v>
      </c>
      <c r="BA14" s="13">
        <f>COUNTIFS(angemeldet30,"&gt;0",statusKategorie,$B$31)</f>
        <v>0</v>
      </c>
      <c r="BB14" s="13">
        <f>COUNTIFS(angemeldet31,"&gt;0",statusKategorie,$B$31)</f>
        <v>0</v>
      </c>
      <c r="BC14" s="13">
        <f>COUNTIFS(angemeldet32,"&gt;0",statusKategorie,$B$31)</f>
        <v>0</v>
      </c>
      <c r="BD14" s="13">
        <f>COUNTIFS(angemeldet33,"&gt;0",statusKategorie,$B$31)</f>
        <v>0</v>
      </c>
      <c r="BE14" s="13">
        <f>COUNTIFS(angemeldet34,"&gt;0",statusKategorie,$B$31)</f>
        <v>0</v>
      </c>
      <c r="BF14" s="13">
        <f>COUNTIFS(angemeldet35,"&gt;0",statusKategorie,$B$31)</f>
        <v>0</v>
      </c>
      <c r="BG14" s="13">
        <f>COUNTIFS(angemeldet36,"&gt;0",statusKategorie,$B$31)</f>
        <v>0</v>
      </c>
      <c r="BH14" s="13">
        <f>COUNTIFS(angemeldet37,"&gt;0",statusKategorie,$B$31)</f>
        <v>0</v>
      </c>
      <c r="BI14" s="13">
        <f>COUNTIFS(angemeldet38,"&gt;0",statusKategorie,$B$31)</f>
        <v>0</v>
      </c>
      <c r="BJ14" s="13">
        <f>COUNTIFS(angemeldet39,"&gt;0",statusKategorie,$B$31)</f>
        <v>0</v>
      </c>
      <c r="BK14" s="13">
        <f>COUNTIFS(angemeldet40,"&gt;0",statusKategorie,$B$31)</f>
        <v>0</v>
      </c>
      <c r="BL14" s="33">
        <f>SUMIFS(summeStundenDi,statusKategorie,$B$31)</f>
        <v>0</v>
      </c>
      <c r="BM14" s="23">
        <f>SUMIFS(summeVerpflegungDi,statusKategorie,$B$31)</f>
        <v>0</v>
      </c>
      <c r="BN14" s="13">
        <f>COUNTIFS(angemeldet41,"&gt;0",statusKategorie,$B$31)</f>
        <v>0</v>
      </c>
      <c r="BO14" s="13">
        <f>COUNTIFS(angemeldet42,"&gt;0",statusKategorie,$B$31)</f>
        <v>0</v>
      </c>
      <c r="BP14" s="13">
        <f>COUNTIFS(angemeldet43,"&gt;0",statusKategorie,$B$31)</f>
        <v>0</v>
      </c>
      <c r="BQ14" s="13">
        <f>COUNTIFS(angemeldet44,"&gt;0",statusKategorie,$B$31)</f>
        <v>0</v>
      </c>
      <c r="BR14" s="13">
        <f>COUNTIFS(angemeldet45,"&gt;0",statusKategorie,$B$31)</f>
        <v>0</v>
      </c>
      <c r="BS14" s="13">
        <f>COUNTIFS(angemeldet46,"&gt;0",statusKategorie,$B$31)</f>
        <v>0</v>
      </c>
      <c r="BT14" s="13">
        <f>COUNTIFS(angemeldet47,"&gt;0",statusKategorie,$B$31)</f>
        <v>0</v>
      </c>
      <c r="BU14" s="13">
        <f>COUNTIFS(angemeldet48,"&gt;0",statusKategorie,$B$31)</f>
        <v>0</v>
      </c>
      <c r="BV14" s="13">
        <f>COUNTIFS(angemeldet49,"&gt;0",statusKategorie,$B$31)</f>
        <v>0</v>
      </c>
      <c r="BW14" s="13">
        <f>COUNTIFS(angemeldet50,"&gt;0",statusKategorie,$B$31)</f>
        <v>0</v>
      </c>
      <c r="BX14" s="13">
        <f>COUNTIFS(angemeldet51,"&gt;0",statusKategorie,$B$31)</f>
        <v>0</v>
      </c>
      <c r="BY14" s="13">
        <f>COUNTIFS(angemeldet52,"&gt;0",statusKategorie,$B$31)</f>
        <v>0</v>
      </c>
      <c r="BZ14" s="13">
        <f>COUNTIFS(angemeldet53,"&gt;0",statusKategorie,$B$31)</f>
        <v>0</v>
      </c>
      <c r="CA14" s="13">
        <f>COUNTIFS(angemeldet54,"&gt;0",statusKategorie,$B$31)</f>
        <v>0</v>
      </c>
      <c r="CB14" s="13">
        <f>COUNTIFS(angemeldet55,"&gt;0",statusKategorie,$B$31)</f>
        <v>0</v>
      </c>
      <c r="CC14" s="13">
        <f>COUNTIFS(angemeldet56,"&gt;0",statusKategorie,$B$31)</f>
        <v>0</v>
      </c>
      <c r="CD14" s="13">
        <f>COUNTIFS(angemeldet57,"&gt;0",statusKategorie,$B$31)</f>
        <v>0</v>
      </c>
      <c r="CE14" s="13">
        <f>COUNTIFS(angemeldet58,"&gt;0",statusKategorie,$B$31)</f>
        <v>0</v>
      </c>
      <c r="CF14" s="13">
        <f>COUNTIFS(angemeldet59,"&gt;0",statusKategorie,$B$31)</f>
        <v>0</v>
      </c>
      <c r="CG14" s="13">
        <f>COUNTIFS(angemeldet60,"&gt;0",statusKategorie,$B$31)</f>
        <v>0</v>
      </c>
      <c r="CH14" s="33">
        <f>SUMIFS(summeStundenMi,statusKategorie,$B$31)</f>
        <v>0</v>
      </c>
      <c r="CI14" s="23">
        <f>SUMIFS(summeVerpflegungMi,statusKategorie,$B$31)</f>
        <v>0</v>
      </c>
      <c r="CJ14" s="13">
        <f>COUNTIFS(angemeldet61,"&gt;0",statusKategorie,$B$31)</f>
        <v>0</v>
      </c>
      <c r="CK14" s="13">
        <f>COUNTIFS(angemeldet62,"&gt;0",statusKategorie,$B$31)</f>
        <v>0</v>
      </c>
      <c r="CL14" s="13">
        <f>COUNTIFS(angemeldet63,"&gt;0",statusKategorie,$B$31)</f>
        <v>0</v>
      </c>
      <c r="CM14" s="13">
        <f>COUNTIFS(angemeldet64,"&gt;0",statusKategorie,$B$31)</f>
        <v>0</v>
      </c>
      <c r="CN14" s="13">
        <f>COUNTIFS(angemeldet65,"&gt;0",statusKategorie,$B$31)</f>
        <v>0</v>
      </c>
      <c r="CO14" s="13">
        <f>COUNTIFS(angemeldet66,"&gt;0",statusKategorie,$B$31)</f>
        <v>0</v>
      </c>
      <c r="CP14" s="13">
        <f>COUNTIFS(angemeldet67,"&gt;0",statusKategorie,$B$31)</f>
        <v>0</v>
      </c>
      <c r="CQ14" s="13">
        <f>COUNTIFS(angemeldet68,"&gt;0",statusKategorie,$B$31)</f>
        <v>0</v>
      </c>
      <c r="CR14" s="13">
        <f>COUNTIFS(angemeldet69,"&gt;0",statusKategorie,$B$31)</f>
        <v>0</v>
      </c>
      <c r="CS14" s="13">
        <f>COUNTIFS(angemeldet70,"&gt;0",statusKategorie,$B$31)</f>
        <v>0</v>
      </c>
      <c r="CT14" s="13">
        <f>COUNTIFS(angemeldet71,"&gt;0",statusKategorie,$B$31)</f>
        <v>0</v>
      </c>
      <c r="CU14" s="13">
        <f>COUNTIFS(angemeldet72,"&gt;0",statusKategorie,$B$31)</f>
        <v>0</v>
      </c>
      <c r="CV14" s="13">
        <f>COUNTIFS(angemeldet73,"&gt;0",statusKategorie,$B$31)</f>
        <v>0</v>
      </c>
      <c r="CW14" s="13">
        <f>COUNTIFS(angemeldet74,"&gt;0",statusKategorie,$B$31)</f>
        <v>0</v>
      </c>
      <c r="CX14" s="13">
        <f>COUNTIFS(angemeldet75,"&gt;0",statusKategorie,$B$31)</f>
        <v>0</v>
      </c>
      <c r="CY14" s="13">
        <f>COUNTIFS(angemeldet76,"&gt;0",statusKategorie,$B$31)</f>
        <v>0</v>
      </c>
      <c r="CZ14" s="13">
        <f>COUNTIFS(angemeldet77,"&gt;0",statusKategorie,$B$31)</f>
        <v>0</v>
      </c>
      <c r="DA14" s="13">
        <f>COUNTIFS(angemeldet78,"&gt;0",statusKategorie,$B$31)</f>
        <v>0</v>
      </c>
      <c r="DB14" s="13">
        <f>COUNTIFS(angemeldet79,"&gt;0",statusKategorie,$B$31)</f>
        <v>0</v>
      </c>
      <c r="DC14" s="13">
        <f>COUNTIFS(angemeldet80,"&gt;0",statusKategorie,$B$31)</f>
        <v>0</v>
      </c>
      <c r="DD14" s="33">
        <f>SUMIFS(summeStundenDo,statusKategorie,$B$31)</f>
        <v>0</v>
      </c>
      <c r="DE14" s="23">
        <f>SUMIFS(summeVerpflegungDo,statusKategorie,$B$31)</f>
        <v>0</v>
      </c>
      <c r="DF14" s="13">
        <f>COUNTIFS(angemeldet81,"&gt;0",statusKategorie,$B$31)</f>
        <v>0</v>
      </c>
      <c r="DG14" s="13">
        <f>COUNTIFS(angemeldet82,"&gt;0",statusKategorie,$B$31)</f>
        <v>0</v>
      </c>
      <c r="DH14" s="13">
        <f>COUNTIFS(angemeldet83,"&gt;0",statusKategorie,$B$31)</f>
        <v>0</v>
      </c>
      <c r="DI14" s="13">
        <f>COUNTIFS(angemeldet84,"&gt;0",statusKategorie,$B$31)</f>
        <v>0</v>
      </c>
      <c r="DJ14" s="13">
        <f>COUNTIFS(angemeldet85,"&gt;0",statusKategorie,$B$31)</f>
        <v>0</v>
      </c>
      <c r="DK14" s="13">
        <f>COUNTIFS(angemeldet86,"&gt;0",statusKategorie,$B$31)</f>
        <v>0</v>
      </c>
      <c r="DL14" s="13">
        <f>COUNTIFS(angemeldet87,"&gt;0",statusKategorie,$B$31)</f>
        <v>0</v>
      </c>
      <c r="DM14" s="13">
        <f>COUNTIFS(angemeldet88,"&gt;0",statusKategorie,$B$31)</f>
        <v>0</v>
      </c>
      <c r="DN14" s="13">
        <f>COUNTIFS(angemeldet89,"&gt;0",statusKategorie,$B$31)</f>
        <v>0</v>
      </c>
      <c r="DO14" s="13">
        <f>COUNTIFS(angemeldet90,"&gt;0",statusKategorie,$B$31)</f>
        <v>0</v>
      </c>
      <c r="DP14" s="13">
        <f>COUNTIFS(angemeldet91,"&gt;0",statusKategorie,$B$31)</f>
        <v>0</v>
      </c>
      <c r="DQ14" s="13">
        <f>COUNTIFS(angemeldet92,"&gt;0",statusKategorie,$B$31)</f>
        <v>0</v>
      </c>
      <c r="DR14" s="13">
        <f>COUNTIFS(angemeldet93,"&gt;0",statusKategorie,$B$31)</f>
        <v>0</v>
      </c>
      <c r="DS14" s="13">
        <f>COUNTIFS(angemeldet94,"&gt;0",statusKategorie,$B$31)</f>
        <v>0</v>
      </c>
      <c r="DT14" s="13">
        <f>COUNTIFS(angemeldet95,"&gt;0",statusKategorie,$B$31)</f>
        <v>0</v>
      </c>
      <c r="DU14" s="13">
        <f>COUNTIFS(angemeldet96,"&gt;0",statusKategorie,$B$31)</f>
        <v>0</v>
      </c>
      <c r="DV14" s="13">
        <f>COUNTIFS(angemeldet97,"&gt;0",statusKategorie,$B$31)</f>
        <v>0</v>
      </c>
      <c r="DW14" s="13">
        <f>COUNTIFS(angemeldet98,"&gt;0",statusKategorie,$B$31)</f>
        <v>0</v>
      </c>
      <c r="DX14" s="13">
        <f>COUNTIFS(angemeldet99,"&gt;0",statusKategorie,$B$31)</f>
        <v>0</v>
      </c>
      <c r="DY14" s="13">
        <f>COUNTIFS(angemeldet100,"&gt;0",statusKategorie,$B$31)</f>
        <v>0</v>
      </c>
      <c r="DZ14" s="33">
        <f>SUMIFS(summeStundenFr,statusKategorie,$B$31)</f>
        <v>0</v>
      </c>
      <c r="EA14" s="23">
        <f>SUMIFS(summeVerpflegungFr,statusKategorie,$B$31)</f>
        <v>0</v>
      </c>
      <c r="EB14" s="33">
        <f>SUMIFS(summeStundenWoche,statusKategorie,$B$31)</f>
        <v>0</v>
      </c>
      <c r="EC14" s="43">
        <f>SUMIFS(summeVerpflegungWoche,statusKategorie,$B$31)</f>
        <v>0</v>
      </c>
      <c r="ED14" s="42"/>
      <c r="EE14" s="47"/>
      <c r="EF14" s="38"/>
      <c r="EG14" s="36"/>
    </row>
    <row r="15" spans="1:138" x14ac:dyDescent="0.2">
      <c r="A15" s="6" t="s">
        <v>2</v>
      </c>
      <c r="B15" s="1" t="s">
        <v>1</v>
      </c>
      <c r="C15" s="12" t="s">
        <v>4</v>
      </c>
      <c r="D15" s="12" t="s">
        <v>83</v>
      </c>
      <c r="E15" s="12" t="s">
        <v>80</v>
      </c>
      <c r="F15" s="12" t="s">
        <v>84</v>
      </c>
      <c r="G15" s="12" t="s">
        <v>61</v>
      </c>
      <c r="H15" s="12" t="s">
        <v>62</v>
      </c>
      <c r="I15" s="12" t="s">
        <v>63</v>
      </c>
      <c r="J15" s="12" t="s">
        <v>70</v>
      </c>
      <c r="K15" s="12" t="s">
        <v>71</v>
      </c>
      <c r="L15" s="12" t="s">
        <v>64</v>
      </c>
      <c r="M15" s="12" t="s">
        <v>65</v>
      </c>
      <c r="N15" s="12" t="s">
        <v>66</v>
      </c>
      <c r="O15" s="12" t="s">
        <v>72</v>
      </c>
      <c r="P15" s="12" t="s">
        <v>73</v>
      </c>
      <c r="Q15" s="7" t="s">
        <v>3</v>
      </c>
      <c r="R15" s="7" t="s">
        <v>53</v>
      </c>
      <c r="S15" s="6" t="s">
        <v>5</v>
      </c>
      <c r="T15" s="60" t="s">
        <v>91</v>
      </c>
      <c r="U15" s="6" t="e">
        <f>VLOOKUP(S15,$A$18:$B$29,2,FALSE)</f>
        <v>#N/A</v>
      </c>
      <c r="V15" s="9" t="s">
        <v>8</v>
      </c>
      <c r="W15" s="9" t="s">
        <v>8</v>
      </c>
      <c r="X15" s="9" t="s">
        <v>8</v>
      </c>
      <c r="Y15" s="9" t="s">
        <v>8</v>
      </c>
      <c r="Z15" s="9" t="s">
        <v>8</v>
      </c>
      <c r="AA15" s="9" t="s">
        <v>8</v>
      </c>
      <c r="AB15" s="9" t="s">
        <v>8</v>
      </c>
      <c r="AC15" s="9" t="s">
        <v>8</v>
      </c>
      <c r="AD15" s="9" t="s">
        <v>8</v>
      </c>
      <c r="AE15" s="9" t="s">
        <v>8</v>
      </c>
      <c r="AF15" s="9" t="s">
        <v>8</v>
      </c>
      <c r="AG15" s="9" t="s">
        <v>8</v>
      </c>
      <c r="AH15" s="9" t="s">
        <v>8</v>
      </c>
      <c r="AI15" s="9" t="s">
        <v>8</v>
      </c>
      <c r="AJ15" s="9" t="s">
        <v>8</v>
      </c>
      <c r="AK15" s="9" t="s">
        <v>8</v>
      </c>
      <c r="AL15" s="9" t="s">
        <v>8</v>
      </c>
      <c r="AM15" s="9" t="s">
        <v>8</v>
      </c>
      <c r="AN15" s="9" t="s">
        <v>8</v>
      </c>
      <c r="AO15" s="24" t="s">
        <v>8</v>
      </c>
      <c r="AP15" s="26"/>
      <c r="AQ15" s="27"/>
      <c r="AR15" s="24" t="s">
        <v>8</v>
      </c>
      <c r="AS15" s="9" t="s">
        <v>8</v>
      </c>
      <c r="AT15" s="9" t="s">
        <v>8</v>
      </c>
      <c r="AU15" s="9" t="s">
        <v>8</v>
      </c>
      <c r="AV15" s="9" t="s">
        <v>8</v>
      </c>
      <c r="AW15" s="9" t="s">
        <v>8</v>
      </c>
      <c r="AX15" s="9" t="s">
        <v>8</v>
      </c>
      <c r="AY15" s="9" t="s">
        <v>8</v>
      </c>
      <c r="AZ15" s="9" t="s">
        <v>8</v>
      </c>
      <c r="BA15" s="9" t="s">
        <v>8</v>
      </c>
      <c r="BB15" s="9" t="s">
        <v>8</v>
      </c>
      <c r="BC15" s="9" t="s">
        <v>8</v>
      </c>
      <c r="BD15" s="9" t="s">
        <v>8</v>
      </c>
      <c r="BE15" s="9" t="s">
        <v>8</v>
      </c>
      <c r="BF15" s="9" t="s">
        <v>8</v>
      </c>
      <c r="BG15" s="9" t="s">
        <v>8</v>
      </c>
      <c r="BH15" s="9" t="s">
        <v>8</v>
      </c>
      <c r="BI15" s="9" t="s">
        <v>8</v>
      </c>
      <c r="BJ15" s="9" t="s">
        <v>8</v>
      </c>
      <c r="BK15" s="24" t="s">
        <v>8</v>
      </c>
      <c r="BL15" s="26"/>
      <c r="BM15" s="27"/>
      <c r="BN15" s="24" t="s">
        <v>8</v>
      </c>
      <c r="BO15" s="9" t="s">
        <v>8</v>
      </c>
      <c r="BP15" s="9" t="s">
        <v>8</v>
      </c>
      <c r="BQ15" s="9" t="s">
        <v>8</v>
      </c>
      <c r="BR15" s="9" t="s">
        <v>8</v>
      </c>
      <c r="BS15" s="9" t="s">
        <v>8</v>
      </c>
      <c r="BT15" s="9" t="s">
        <v>8</v>
      </c>
      <c r="BU15" s="9" t="s">
        <v>8</v>
      </c>
      <c r="BV15" s="9" t="s">
        <v>8</v>
      </c>
      <c r="BW15" s="9" t="s">
        <v>8</v>
      </c>
      <c r="BX15" s="9" t="s">
        <v>8</v>
      </c>
      <c r="BY15" s="9" t="s">
        <v>8</v>
      </c>
      <c r="BZ15" s="9" t="s">
        <v>8</v>
      </c>
      <c r="CA15" s="9" t="s">
        <v>8</v>
      </c>
      <c r="CB15" s="9" t="s">
        <v>8</v>
      </c>
      <c r="CC15" s="9" t="s">
        <v>8</v>
      </c>
      <c r="CD15" s="9" t="s">
        <v>8</v>
      </c>
      <c r="CE15" s="9" t="s">
        <v>8</v>
      </c>
      <c r="CF15" s="9" t="s">
        <v>8</v>
      </c>
      <c r="CG15" s="24" t="s">
        <v>8</v>
      </c>
      <c r="CH15" s="26"/>
      <c r="CI15" s="27"/>
      <c r="CJ15" s="24" t="s">
        <v>8</v>
      </c>
      <c r="CK15" s="9" t="s">
        <v>8</v>
      </c>
      <c r="CL15" s="9" t="s">
        <v>8</v>
      </c>
      <c r="CM15" s="9" t="s">
        <v>8</v>
      </c>
      <c r="CN15" s="9" t="s">
        <v>8</v>
      </c>
      <c r="CO15" s="9" t="s">
        <v>8</v>
      </c>
      <c r="CP15" s="9" t="s">
        <v>8</v>
      </c>
      <c r="CQ15" s="9" t="s">
        <v>8</v>
      </c>
      <c r="CR15" s="9" t="s">
        <v>8</v>
      </c>
      <c r="CS15" s="9" t="s">
        <v>8</v>
      </c>
      <c r="CT15" s="9" t="s">
        <v>8</v>
      </c>
      <c r="CU15" s="9" t="s">
        <v>8</v>
      </c>
      <c r="CV15" s="9" t="s">
        <v>8</v>
      </c>
      <c r="CW15" s="9" t="s">
        <v>8</v>
      </c>
      <c r="CX15" s="9" t="s">
        <v>8</v>
      </c>
      <c r="CY15" s="9" t="s">
        <v>8</v>
      </c>
      <c r="CZ15" s="9" t="s">
        <v>8</v>
      </c>
      <c r="DA15" s="9" t="s">
        <v>8</v>
      </c>
      <c r="DB15" s="9" t="s">
        <v>8</v>
      </c>
      <c r="DC15" s="24" t="s">
        <v>8</v>
      </c>
      <c r="DD15" s="26"/>
      <c r="DE15" s="27"/>
      <c r="DF15" s="24" t="s">
        <v>8</v>
      </c>
      <c r="DG15" s="9" t="s">
        <v>8</v>
      </c>
      <c r="DH15" s="9" t="s">
        <v>8</v>
      </c>
      <c r="DI15" s="9" t="s">
        <v>8</v>
      </c>
      <c r="DJ15" s="9" t="s">
        <v>8</v>
      </c>
      <c r="DK15" s="9" t="s">
        <v>8</v>
      </c>
      <c r="DL15" s="9" t="s">
        <v>8</v>
      </c>
      <c r="DM15" s="9" t="s">
        <v>8</v>
      </c>
      <c r="DN15" s="9" t="s">
        <v>8</v>
      </c>
      <c r="DO15" s="9" t="s">
        <v>8</v>
      </c>
      <c r="DP15" s="9" t="s">
        <v>8</v>
      </c>
      <c r="DQ15" s="9" t="s">
        <v>8</v>
      </c>
      <c r="DR15" s="9" t="s">
        <v>8</v>
      </c>
      <c r="DS15" s="9" t="s">
        <v>8</v>
      </c>
      <c r="DT15" s="9" t="s">
        <v>8</v>
      </c>
      <c r="DU15" s="9" t="s">
        <v>8</v>
      </c>
      <c r="DV15" s="9" t="s">
        <v>8</v>
      </c>
      <c r="DW15" s="9" t="s">
        <v>8</v>
      </c>
      <c r="DX15" s="9" t="s">
        <v>8</v>
      </c>
      <c r="DY15" s="24" t="s">
        <v>8</v>
      </c>
      <c r="DZ15" s="26"/>
      <c r="EA15" s="27"/>
      <c r="EB15" s="30"/>
      <c r="EC15" s="37"/>
      <c r="ED15" s="56" t="s">
        <v>90</v>
      </c>
      <c r="EE15" s="48" t="s">
        <v>77</v>
      </c>
      <c r="EF15" s="84" t="s">
        <v>74</v>
      </c>
      <c r="EG15" s="85"/>
      <c r="EH15" t="s">
        <v>42</v>
      </c>
    </row>
    <row r="16" spans="1:138" x14ac:dyDescent="0.2">
      <c r="A16" s="71" t="s">
        <v>88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13">
        <f>COUNTIF(freigegebenKategorie,$B$34)</f>
        <v>0</v>
      </c>
      <c r="T16" s="13"/>
      <c r="U16" s="13"/>
      <c r="V16" s="13">
        <f>COUNTIF(nichtFreigegeben1,"&gt;0")</f>
        <v>0</v>
      </c>
      <c r="W16" s="13">
        <f>COUNTIF(nichtFreigegeben2,"&gt;0")</f>
        <v>0</v>
      </c>
      <c r="X16" s="13">
        <f>COUNTIF(nichtFreigegeben3,"&gt;0")</f>
        <v>0</v>
      </c>
      <c r="Y16" s="13">
        <f>COUNTIF(nichtFreigegeben4,"&gt;0")</f>
        <v>0</v>
      </c>
      <c r="Z16" s="13">
        <f>COUNTIF(nichtFreigegeben5,"&gt;0")</f>
        <v>0</v>
      </c>
      <c r="AA16" s="13">
        <f>COUNTIF(nichtFreigegeben6,"&gt;0")</f>
        <v>0</v>
      </c>
      <c r="AB16" s="13">
        <f>COUNTIF(nichtFreigegeben7,"&gt;0")</f>
        <v>0</v>
      </c>
      <c r="AC16" s="13">
        <f>COUNTIF(nichtFreigegeben8,"&gt;0")</f>
        <v>0</v>
      </c>
      <c r="AD16" s="13">
        <f>COUNTIF(nichtFreigegeben9,"&gt;0")</f>
        <v>0</v>
      </c>
      <c r="AE16" s="13">
        <f>COUNTIF(nichtFreigegeben10,"&gt;0")</f>
        <v>0</v>
      </c>
      <c r="AF16" s="13">
        <f>COUNTIF(nichtFreigegeben11,"&gt;0")</f>
        <v>0</v>
      </c>
      <c r="AG16" s="13">
        <f>COUNTIF(nichtFreigegeben12,"&gt;0")</f>
        <v>0</v>
      </c>
      <c r="AH16" s="13">
        <f>COUNTIF(nichtFreigegeben13,"&gt;0")</f>
        <v>0</v>
      </c>
      <c r="AI16" s="13">
        <f>COUNTIF(nichtFreigegeben14,"&gt;0")</f>
        <v>0</v>
      </c>
      <c r="AJ16" s="13">
        <f>COUNTIF(nichtFreigegeben15,"&gt;0")</f>
        <v>0</v>
      </c>
      <c r="AK16" s="13">
        <f>COUNTIF(nichtFreigegeben16,"&gt;0")</f>
        <v>0</v>
      </c>
      <c r="AL16" s="13">
        <f>COUNTIF(nichtFreigegeben17,"&gt;0")</f>
        <v>0</v>
      </c>
      <c r="AM16" s="13">
        <f>COUNTIF(nichtFreigegeben18,"&gt;0")</f>
        <v>0</v>
      </c>
      <c r="AN16" s="13">
        <f>COUNTIF(nichtFreigegeben19,"&gt;0")</f>
        <v>0</v>
      </c>
      <c r="AO16" s="13">
        <f>COUNTIF(nichtFreigegeben20,"&gt;0")</f>
        <v>0</v>
      </c>
      <c r="AP16" s="28"/>
      <c r="AQ16" s="28"/>
      <c r="AR16" s="13">
        <f>COUNTIF(nichtFreigegeben21,"&gt;0")</f>
        <v>0</v>
      </c>
      <c r="AS16" s="13">
        <f>COUNTIF(nichtFreigegeben22,"&gt;0")</f>
        <v>0</v>
      </c>
      <c r="AT16" s="13">
        <f>COUNTIF(nichtFreigegeben23,"&gt;0")</f>
        <v>0</v>
      </c>
      <c r="AU16" s="13">
        <f>COUNTIF(nichtFreigegeben24,"&gt;0")</f>
        <v>0</v>
      </c>
      <c r="AV16" s="13">
        <f>COUNTIF(nichtFreigegeben25,"&gt;0")</f>
        <v>0</v>
      </c>
      <c r="AW16" s="13">
        <f>COUNTIF(nichtFreigegeben26,"&gt;0")</f>
        <v>0</v>
      </c>
      <c r="AX16" s="13">
        <f>COUNTIF(nichtFreigegeben27,"&gt;0")</f>
        <v>0</v>
      </c>
      <c r="AY16" s="13">
        <f>COUNTIF(nichtFreigegeben28,"&gt;0")</f>
        <v>0</v>
      </c>
      <c r="AZ16" s="13">
        <f>COUNTIF(nichtFreigegeben29,"&gt;0")</f>
        <v>0</v>
      </c>
      <c r="BA16" s="13">
        <f>COUNTIF(nichtFreigegeben30,"&gt;0")</f>
        <v>0</v>
      </c>
      <c r="BB16" s="13">
        <f>COUNTIF(nichtFreigegeben31,"&gt;0")</f>
        <v>0</v>
      </c>
      <c r="BC16" s="13">
        <f>COUNTIF(nichtFreigegeben32,"&gt;0")</f>
        <v>0</v>
      </c>
      <c r="BD16" s="13">
        <f>COUNTIF(nichtFreigegeben33,"&gt;0")</f>
        <v>0</v>
      </c>
      <c r="BE16" s="13">
        <f>COUNTIF(nichtFreigegeben34,"&gt;0")</f>
        <v>0</v>
      </c>
      <c r="BF16" s="13">
        <f>COUNTIF(nichtFreigegeben35,"&gt;0")</f>
        <v>0</v>
      </c>
      <c r="BG16" s="13">
        <f>COUNTIF(nichtFreigegeben36,"&gt;0")</f>
        <v>0</v>
      </c>
      <c r="BH16" s="13">
        <f>COUNTIF(nichtFreigegeben37,"&gt;0")</f>
        <v>0</v>
      </c>
      <c r="BI16" s="13">
        <f>COUNTIF(nichtFreigegeben38,"&gt;0")</f>
        <v>0</v>
      </c>
      <c r="BJ16" s="13">
        <f>COUNTIF(nichtFreigegeben39,"&gt;0")</f>
        <v>0</v>
      </c>
      <c r="BK16" s="13">
        <f>COUNTIF(nichtFreigegeben40,"&gt;0")</f>
        <v>0</v>
      </c>
      <c r="BL16" s="28"/>
      <c r="BM16" s="28"/>
      <c r="BN16" s="13">
        <f>COUNTIF(nichtFreigegeben41,"&gt;0")</f>
        <v>0</v>
      </c>
      <c r="BO16" s="13">
        <f>COUNTIF(nichtFreigegeben42,"&gt;0")</f>
        <v>0</v>
      </c>
      <c r="BP16" s="13">
        <f>COUNTIF(nichtFreigegeben43,"&gt;0")</f>
        <v>0</v>
      </c>
      <c r="BQ16" s="13">
        <f>COUNTIF(nichtFreigegeben44,"&gt;0")</f>
        <v>0</v>
      </c>
      <c r="BR16" s="13">
        <f>COUNTIF(nichtFreigegeben45,"&gt;0")</f>
        <v>0</v>
      </c>
      <c r="BS16" s="13">
        <f>COUNTIF(nichtFreigegeben46,"&gt;0")</f>
        <v>0</v>
      </c>
      <c r="BT16" s="13">
        <f>COUNTIF(nichtFreigegeben47,"&gt;0")</f>
        <v>0</v>
      </c>
      <c r="BU16" s="13">
        <f>COUNTIF(nichtFreigegeben48,"&gt;0")</f>
        <v>0</v>
      </c>
      <c r="BV16" s="13">
        <f>COUNTIF(nichtFreigegeben49,"&gt;0")</f>
        <v>0</v>
      </c>
      <c r="BW16" s="13">
        <f>COUNTIF(nichtFreigegeben50,"&gt;0")</f>
        <v>0</v>
      </c>
      <c r="BX16" s="13">
        <f>COUNTIF(nichtFreigegeben51,"&gt;0")</f>
        <v>0</v>
      </c>
      <c r="BY16" s="13">
        <f>COUNTIF(nichtFreigegeben52,"&gt;0")</f>
        <v>0</v>
      </c>
      <c r="BZ16" s="13">
        <f>COUNTIF(nichtFreigegeben53,"&gt;0")</f>
        <v>0</v>
      </c>
      <c r="CA16" s="13">
        <f>COUNTIF(nichtFreigegeben54,"&gt;0")</f>
        <v>0</v>
      </c>
      <c r="CB16" s="13">
        <f>COUNTIF(nichtFreigegeben55,"&gt;0")</f>
        <v>0</v>
      </c>
      <c r="CC16" s="13">
        <f>COUNTIF(nichtFreigegeben56,"&gt;0")</f>
        <v>0</v>
      </c>
      <c r="CD16" s="13">
        <f>COUNTIF(nichtFreigegeben57,"&gt;0")</f>
        <v>0</v>
      </c>
      <c r="CE16" s="13">
        <f>COUNTIF(nichtFreigegeben58,"&gt;0")</f>
        <v>0</v>
      </c>
      <c r="CF16" s="13">
        <f>COUNTIF(nichtFreigegeben59,"&gt;0")</f>
        <v>0</v>
      </c>
      <c r="CG16" s="13">
        <f>COUNTIF(nichtFreigegeben60,"&gt;0")</f>
        <v>0</v>
      </c>
      <c r="CH16" s="28"/>
      <c r="CI16" s="28"/>
      <c r="CJ16" s="13">
        <f>COUNTIF(nichtFreigegeben61,"&gt;0")</f>
        <v>0</v>
      </c>
      <c r="CK16" s="13">
        <f>COUNTIF(nichtFreigegeben62,"&gt;0")</f>
        <v>0</v>
      </c>
      <c r="CL16" s="13">
        <f>COUNTIF(nichtFreigegeben63,"&gt;0")</f>
        <v>0</v>
      </c>
      <c r="CM16" s="13">
        <f>COUNTIF(nichtFreigegeben64,"&gt;0")</f>
        <v>0</v>
      </c>
      <c r="CN16" s="13">
        <f>COUNTIF(nichtFreigegeben65,"&gt;0")</f>
        <v>0</v>
      </c>
      <c r="CO16" s="13">
        <f>COUNTIF(nichtFreigegeben66,"&gt;0")</f>
        <v>0</v>
      </c>
      <c r="CP16" s="13">
        <f>COUNTIF(nichtFreigegeben67,"&gt;0")</f>
        <v>0</v>
      </c>
      <c r="CQ16" s="13">
        <f>COUNTIF(nichtFreigegeben68,"&gt;0")</f>
        <v>0</v>
      </c>
      <c r="CR16" s="13">
        <f>COUNTIF(nichtFreigegeben69,"&gt;0")</f>
        <v>0</v>
      </c>
      <c r="CS16" s="13">
        <f>COUNTIF(nichtFreigegeben70,"&gt;0")</f>
        <v>0</v>
      </c>
      <c r="CT16" s="13">
        <f>COUNTIF(nichtFreigegeben71,"&gt;0")</f>
        <v>0</v>
      </c>
      <c r="CU16" s="13">
        <f>COUNTIF(nichtFreigegeben72,"&gt;0")</f>
        <v>0</v>
      </c>
      <c r="CV16" s="13">
        <f>COUNTIF(nichtFreigegeben73,"&gt;0")</f>
        <v>0</v>
      </c>
      <c r="CW16" s="13">
        <f>COUNTIF(nichtFreigegeben74,"&gt;0")</f>
        <v>0</v>
      </c>
      <c r="CX16" s="13">
        <f>COUNTIF(nichtFreigegeben75,"&gt;0")</f>
        <v>0</v>
      </c>
      <c r="CY16" s="13">
        <f>COUNTIF(nichtFreigegeben76,"&gt;0")</f>
        <v>0</v>
      </c>
      <c r="CZ16" s="13">
        <f>COUNTIF(nichtFreigegeben77,"&gt;0")</f>
        <v>0</v>
      </c>
      <c r="DA16" s="13">
        <f>COUNTIF(nichtFreigegeben78,"&gt;0")</f>
        <v>0</v>
      </c>
      <c r="DB16" s="13">
        <f>COUNTIF(nichtFreigegeben79,"&gt;0")</f>
        <v>0</v>
      </c>
      <c r="DC16" s="13">
        <f>COUNTIF(nichtFreigegeben80,"&gt;0")</f>
        <v>0</v>
      </c>
      <c r="DD16" s="28"/>
      <c r="DE16" s="28"/>
      <c r="DF16" s="13">
        <f>COUNTIF(nichtFreigegeben81,"&gt;0")</f>
        <v>0</v>
      </c>
      <c r="DG16" s="13">
        <f>COUNTIF(nichtFreigegeben82,"&gt;0")</f>
        <v>0</v>
      </c>
      <c r="DH16" s="13">
        <f>COUNTIF(nichtFreigegeben83,"&gt;0")</f>
        <v>0</v>
      </c>
      <c r="DI16" s="13">
        <f>COUNTIF(nichtFreigegeben84,"&gt;0")</f>
        <v>0</v>
      </c>
      <c r="DJ16" s="13">
        <f>COUNTIF(nichtFreigegeben85,"&gt;0")</f>
        <v>0</v>
      </c>
      <c r="DK16" s="13">
        <f>COUNTIF(nichtFreigegeben86,"&gt;0")</f>
        <v>0</v>
      </c>
      <c r="DL16" s="13">
        <f>COUNTIF(nichtFreigegeben87,"&gt;0")</f>
        <v>0</v>
      </c>
      <c r="DM16" s="13">
        <f>COUNTIF(nichtFreigegeben88,"&gt;0")</f>
        <v>0</v>
      </c>
      <c r="DN16" s="13">
        <f>COUNTIF(nichtFreigegeben89,"&gt;0")</f>
        <v>0</v>
      </c>
      <c r="DO16" s="13">
        <f>COUNTIF(nichtFreigegeben90,"&gt;0")</f>
        <v>0</v>
      </c>
      <c r="DP16" s="13">
        <f>COUNTIF(nichtFreigegeben91,"&gt;0")</f>
        <v>0</v>
      </c>
      <c r="DQ16" s="13">
        <f>COUNTIF(nichtFreigegeben92,"&gt;0")</f>
        <v>0</v>
      </c>
      <c r="DR16" s="13">
        <f>COUNTIF(nichtFreigegeben93,"&gt;0")</f>
        <v>0</v>
      </c>
      <c r="DS16" s="13">
        <f>COUNTIF(nichtFreigegeben94,"&gt;0")</f>
        <v>0</v>
      </c>
      <c r="DT16" s="13">
        <f>COUNTIF(nichtFreigegeben95,"&gt;0")</f>
        <v>0</v>
      </c>
      <c r="DU16" s="13">
        <f>COUNTIF(nichtFreigegeben96,"&gt;0")</f>
        <v>0</v>
      </c>
      <c r="DV16" s="13">
        <f>COUNTIF(nichtFreigegeben97,"&gt;0")</f>
        <v>0</v>
      </c>
      <c r="DW16" s="13">
        <f>COUNTIF(nichtFreigegeben98,"&gt;0")</f>
        <v>0</v>
      </c>
      <c r="DX16" s="13">
        <f>COUNTIF(nichtFreigegeben99,"&gt;0")</f>
        <v>0</v>
      </c>
      <c r="DY16" s="13">
        <f>COUNTIF(nichtFreigegeben100,"&gt;0")</f>
        <v>0</v>
      </c>
      <c r="DZ16" s="28"/>
      <c r="EA16" s="28"/>
      <c r="EB16" s="25"/>
      <c r="EC16" s="38"/>
      <c r="ED16" s="38"/>
      <c r="EE16" s="25"/>
      <c r="EF16" s="38"/>
      <c r="EG16" s="36"/>
    </row>
    <row r="17" spans="1:133" x14ac:dyDescent="0.2">
      <c r="AP17" s="29"/>
      <c r="AQ17" s="29"/>
      <c r="BL17" s="29"/>
      <c r="BM17" s="29"/>
      <c r="CH17" s="29"/>
      <c r="CI17" s="29"/>
      <c r="DD17" s="29"/>
      <c r="DE17" s="29"/>
      <c r="DZ17" s="29"/>
      <c r="EA17" s="29"/>
      <c r="EB17" s="29"/>
      <c r="EC17" s="29"/>
    </row>
    <row r="18" spans="1:133" ht="15" hidden="1" customHeight="1" x14ac:dyDescent="0.2">
      <c r="A18" t="s">
        <v>17</v>
      </c>
      <c r="B18" t="s">
        <v>41</v>
      </c>
    </row>
    <row r="19" spans="1:133" ht="15" hidden="1" customHeight="1" x14ac:dyDescent="0.2">
      <c r="A19" t="s">
        <v>18</v>
      </c>
      <c r="B19" t="str">
        <f>B31</f>
        <v>OFFEN</v>
      </c>
    </row>
    <row r="20" spans="1:133" ht="15" hidden="1" customHeight="1" x14ac:dyDescent="0.2">
      <c r="A20" t="s">
        <v>19</v>
      </c>
      <c r="B20" t="str">
        <f>B33</f>
        <v>BESTÄTIGT</v>
      </c>
    </row>
    <row r="21" spans="1:133" ht="15" hidden="1" customHeight="1" x14ac:dyDescent="0.2">
      <c r="A21" t="s">
        <v>20</v>
      </c>
      <c r="B21" t="str">
        <f>B32</f>
        <v>ABGELEHNT</v>
      </c>
    </row>
    <row r="22" spans="1:133" ht="15" hidden="1" customHeight="1" x14ac:dyDescent="0.2">
      <c r="A22" t="s">
        <v>21</v>
      </c>
      <c r="B22" t="str">
        <f>B31</f>
        <v>OFFEN</v>
      </c>
    </row>
    <row r="23" spans="1:133" ht="15" hidden="1" customHeight="1" x14ac:dyDescent="0.2">
      <c r="A23" t="s">
        <v>22</v>
      </c>
      <c r="B23" t="str">
        <f>B33</f>
        <v>BESTÄTIGT</v>
      </c>
    </row>
    <row r="24" spans="1:133" ht="15" hidden="1" customHeight="1" x14ac:dyDescent="0.2">
      <c r="A24" t="s">
        <v>23</v>
      </c>
      <c r="B24" t="str">
        <f>B31</f>
        <v>OFFEN</v>
      </c>
    </row>
    <row r="25" spans="1:133" ht="15" hidden="1" customHeight="1" x14ac:dyDescent="0.2">
      <c r="A25" t="s">
        <v>24</v>
      </c>
      <c r="B25" t="str">
        <f>B31</f>
        <v>OFFEN</v>
      </c>
    </row>
    <row r="26" spans="1:133" hidden="1" x14ac:dyDescent="0.2">
      <c r="A26" t="s">
        <v>25</v>
      </c>
      <c r="B26" t="str">
        <f>B33</f>
        <v>BESTÄTIGT</v>
      </c>
    </row>
    <row r="27" spans="1:133" hidden="1" x14ac:dyDescent="0.2">
      <c r="A27" t="s">
        <v>26</v>
      </c>
      <c r="B27" t="str">
        <f>B32</f>
        <v>ABGELEHNT</v>
      </c>
    </row>
    <row r="28" spans="1:133" hidden="1" x14ac:dyDescent="0.2">
      <c r="A28" t="s">
        <v>27</v>
      </c>
      <c r="B28" t="str">
        <f>B31</f>
        <v>OFFEN</v>
      </c>
    </row>
    <row r="29" spans="1:133" hidden="1" x14ac:dyDescent="0.2">
      <c r="A29" t="s">
        <v>28</v>
      </c>
      <c r="B29" t="str">
        <f>B33</f>
        <v>BESTÄTIGT</v>
      </c>
    </row>
    <row r="30" spans="1:133" hidden="1" x14ac:dyDescent="0.2"/>
    <row r="31" spans="1:133" hidden="1" x14ac:dyDescent="0.2">
      <c r="A31" t="s">
        <v>29</v>
      </c>
      <c r="B31" t="s">
        <v>30</v>
      </c>
    </row>
    <row r="32" spans="1:133" hidden="1" x14ac:dyDescent="0.2">
      <c r="A32" t="s">
        <v>31</v>
      </c>
      <c r="B32" t="s">
        <v>32</v>
      </c>
    </row>
    <row r="33" spans="1:16" hidden="1" x14ac:dyDescent="0.2">
      <c r="A33" t="s">
        <v>33</v>
      </c>
      <c r="B33" t="s">
        <v>34</v>
      </c>
    </row>
    <row r="34" spans="1:16" hidden="1" x14ac:dyDescent="0.2">
      <c r="A34" t="s">
        <v>40</v>
      </c>
      <c r="B34" t="s">
        <v>41</v>
      </c>
    </row>
    <row r="36" spans="1:16" x14ac:dyDescent="0.2">
      <c r="A36" s="61" t="s">
        <v>52</v>
      </c>
      <c r="B36" s="62"/>
      <c r="C36" s="63"/>
      <c r="D36" s="49"/>
      <c r="E36" s="49"/>
      <c r="F36" s="49"/>
    </row>
    <row r="37" spans="1:16" x14ac:dyDescent="0.2">
      <c r="A37" s="22">
        <v>1</v>
      </c>
      <c r="B37" s="67" t="s">
        <v>50</v>
      </c>
      <c r="C37" s="67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</row>
    <row r="38" spans="1:16" x14ac:dyDescent="0.2">
      <c r="A38" s="22">
        <v>2</v>
      </c>
      <c r="B38" s="67" t="s">
        <v>55</v>
      </c>
      <c r="C38" s="67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</row>
    <row r="39" spans="1:16" x14ac:dyDescent="0.2">
      <c r="A39" s="22">
        <v>3</v>
      </c>
      <c r="B39" s="67" t="s">
        <v>51</v>
      </c>
      <c r="C39" s="67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</sheetData>
  <mergeCells count="53">
    <mergeCell ref="D7:F8"/>
    <mergeCell ref="F9:F10"/>
    <mergeCell ref="EF15:EG15"/>
    <mergeCell ref="EF7:EG10"/>
    <mergeCell ref="EB7:EC7"/>
    <mergeCell ref="EB8:EB10"/>
    <mergeCell ref="EC8:EC10"/>
    <mergeCell ref="EE7:EE10"/>
    <mergeCell ref="EF11:EG11"/>
    <mergeCell ref="DD8:DD10"/>
    <mergeCell ref="DE8:DE10"/>
    <mergeCell ref="DZ8:DZ10"/>
    <mergeCell ref="EA8:EA10"/>
    <mergeCell ref="DF7:EA7"/>
    <mergeCell ref="CJ7:DE7"/>
    <mergeCell ref="G7:K8"/>
    <mergeCell ref="L7:P8"/>
    <mergeCell ref="S7:S10"/>
    <mergeCell ref="Q7:Q10"/>
    <mergeCell ref="R7:R10"/>
    <mergeCell ref="N9:N10"/>
    <mergeCell ref="O9:O10"/>
    <mergeCell ref="P9:P10"/>
    <mergeCell ref="A13:R13"/>
    <mergeCell ref="A14:R14"/>
    <mergeCell ref="A9:A10"/>
    <mergeCell ref="B9:B10"/>
    <mergeCell ref="C9:C10"/>
    <mergeCell ref="G9:G10"/>
    <mergeCell ref="H9:H10"/>
    <mergeCell ref="I9:I10"/>
    <mergeCell ref="L9:L10"/>
    <mergeCell ref="M9:M10"/>
    <mergeCell ref="D9:D10"/>
    <mergeCell ref="E9:E10"/>
    <mergeCell ref="J9:J10"/>
    <mergeCell ref="K9:K10"/>
    <mergeCell ref="A36:C36"/>
    <mergeCell ref="AR7:BM7"/>
    <mergeCell ref="BN7:CI7"/>
    <mergeCell ref="B39:C39"/>
    <mergeCell ref="BL8:BL10"/>
    <mergeCell ref="BM8:BM10"/>
    <mergeCell ref="CH8:CH10"/>
    <mergeCell ref="CI8:CI10"/>
    <mergeCell ref="AP8:AP10"/>
    <mergeCell ref="AQ8:AQ10"/>
    <mergeCell ref="B38:C38"/>
    <mergeCell ref="B37:C37"/>
    <mergeCell ref="V7:AQ7"/>
    <mergeCell ref="A16:R16"/>
    <mergeCell ref="A12:R12"/>
    <mergeCell ref="A7:C8"/>
  </mergeCells>
  <pageMargins left="0.7" right="0.7" top="0.78749999999999998" bottom="0.78749999999999998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224</vt:i4>
      </vt:variant>
    </vt:vector>
  </HeadingPairs>
  <TitlesOfParts>
    <vt:vector size="225" baseType="lpstr">
      <vt:lpstr>Data</vt:lpstr>
      <vt:lpstr>angemeldet1</vt:lpstr>
      <vt:lpstr>angemeldet10</vt:lpstr>
      <vt:lpstr>angemeldet100</vt:lpstr>
      <vt:lpstr>angemeldet11</vt:lpstr>
      <vt:lpstr>angemeldet12</vt:lpstr>
      <vt:lpstr>angemeldet13</vt:lpstr>
      <vt:lpstr>angemeldet14</vt:lpstr>
      <vt:lpstr>angemeldet15</vt:lpstr>
      <vt:lpstr>angemeldet16</vt:lpstr>
      <vt:lpstr>angemeldet17</vt:lpstr>
      <vt:lpstr>angemeldet18</vt:lpstr>
      <vt:lpstr>angemeldet19</vt:lpstr>
      <vt:lpstr>angemeldet2</vt:lpstr>
      <vt:lpstr>angemeldet20</vt:lpstr>
      <vt:lpstr>angemeldet21</vt:lpstr>
      <vt:lpstr>angemeldet22</vt:lpstr>
      <vt:lpstr>angemeldet23</vt:lpstr>
      <vt:lpstr>angemeldet24</vt:lpstr>
      <vt:lpstr>angemeldet25</vt:lpstr>
      <vt:lpstr>angemeldet26</vt:lpstr>
      <vt:lpstr>angemeldet27</vt:lpstr>
      <vt:lpstr>angemeldet28</vt:lpstr>
      <vt:lpstr>angemeldet29</vt:lpstr>
      <vt:lpstr>angemeldet3</vt:lpstr>
      <vt:lpstr>angemeldet30</vt:lpstr>
      <vt:lpstr>angemeldet31</vt:lpstr>
      <vt:lpstr>angemeldet32</vt:lpstr>
      <vt:lpstr>angemeldet33</vt:lpstr>
      <vt:lpstr>angemeldet34</vt:lpstr>
      <vt:lpstr>angemeldet35</vt:lpstr>
      <vt:lpstr>angemeldet36</vt:lpstr>
      <vt:lpstr>angemeldet37</vt:lpstr>
      <vt:lpstr>angemeldet38</vt:lpstr>
      <vt:lpstr>angemeldet39</vt:lpstr>
      <vt:lpstr>angemeldet4</vt:lpstr>
      <vt:lpstr>angemeldet40</vt:lpstr>
      <vt:lpstr>angemeldet41</vt:lpstr>
      <vt:lpstr>angemeldet42</vt:lpstr>
      <vt:lpstr>angemeldet43</vt:lpstr>
      <vt:lpstr>angemeldet44</vt:lpstr>
      <vt:lpstr>angemeldet45</vt:lpstr>
      <vt:lpstr>angemeldet46</vt:lpstr>
      <vt:lpstr>angemeldet47</vt:lpstr>
      <vt:lpstr>angemeldet48</vt:lpstr>
      <vt:lpstr>angemeldet49</vt:lpstr>
      <vt:lpstr>angemeldet5</vt:lpstr>
      <vt:lpstr>angemeldet50</vt:lpstr>
      <vt:lpstr>angemeldet51</vt:lpstr>
      <vt:lpstr>angemeldet52</vt:lpstr>
      <vt:lpstr>angemeldet53</vt:lpstr>
      <vt:lpstr>angemeldet54</vt:lpstr>
      <vt:lpstr>angemeldet55</vt:lpstr>
      <vt:lpstr>angemeldet56</vt:lpstr>
      <vt:lpstr>angemeldet57</vt:lpstr>
      <vt:lpstr>angemeldet58</vt:lpstr>
      <vt:lpstr>angemeldet59</vt:lpstr>
      <vt:lpstr>angemeldet6</vt:lpstr>
      <vt:lpstr>angemeldet60</vt:lpstr>
      <vt:lpstr>angemeldet61</vt:lpstr>
      <vt:lpstr>angemeldet62</vt:lpstr>
      <vt:lpstr>angemeldet63</vt:lpstr>
      <vt:lpstr>angemeldet64</vt:lpstr>
      <vt:lpstr>angemeldet65</vt:lpstr>
      <vt:lpstr>angemeldet66</vt:lpstr>
      <vt:lpstr>angemeldet67</vt:lpstr>
      <vt:lpstr>angemeldet68</vt:lpstr>
      <vt:lpstr>angemeldet69</vt:lpstr>
      <vt:lpstr>angemeldet7</vt:lpstr>
      <vt:lpstr>angemeldet70</vt:lpstr>
      <vt:lpstr>angemeldet71</vt:lpstr>
      <vt:lpstr>angemeldet72</vt:lpstr>
      <vt:lpstr>angemeldet73</vt:lpstr>
      <vt:lpstr>angemeldet74</vt:lpstr>
      <vt:lpstr>angemeldet75</vt:lpstr>
      <vt:lpstr>angemeldet76</vt:lpstr>
      <vt:lpstr>angemeldet77</vt:lpstr>
      <vt:lpstr>angemeldet78</vt:lpstr>
      <vt:lpstr>angemeldet79</vt:lpstr>
      <vt:lpstr>angemeldet8</vt:lpstr>
      <vt:lpstr>angemeldet80</vt:lpstr>
      <vt:lpstr>angemeldet81</vt:lpstr>
      <vt:lpstr>angemeldet82</vt:lpstr>
      <vt:lpstr>angemeldet83</vt:lpstr>
      <vt:lpstr>angemeldet84</vt:lpstr>
      <vt:lpstr>angemeldet85</vt:lpstr>
      <vt:lpstr>angemeldet86</vt:lpstr>
      <vt:lpstr>angemeldet87</vt:lpstr>
      <vt:lpstr>angemeldet88</vt:lpstr>
      <vt:lpstr>angemeldet89</vt:lpstr>
      <vt:lpstr>angemeldet9</vt:lpstr>
      <vt:lpstr>angemeldet90</vt:lpstr>
      <vt:lpstr>angemeldet91</vt:lpstr>
      <vt:lpstr>angemeldet92</vt:lpstr>
      <vt:lpstr>angemeldet93</vt:lpstr>
      <vt:lpstr>angemeldet94</vt:lpstr>
      <vt:lpstr>angemeldet95</vt:lpstr>
      <vt:lpstr>angemeldet96</vt:lpstr>
      <vt:lpstr>angemeldet97</vt:lpstr>
      <vt:lpstr>angemeldet98</vt:lpstr>
      <vt:lpstr>angemeldet99</vt:lpstr>
      <vt:lpstr>freigegebenKategorie</vt:lpstr>
      <vt:lpstr>nichtFreigegeben1</vt:lpstr>
      <vt:lpstr>nichtFreigegeben10</vt:lpstr>
      <vt:lpstr>nichtFreigegeben100</vt:lpstr>
      <vt:lpstr>nichtFreigegeben11</vt:lpstr>
      <vt:lpstr>nichtFreigegeben12</vt:lpstr>
      <vt:lpstr>nichtFreigegeben13</vt:lpstr>
      <vt:lpstr>nichtFreigegeben14</vt:lpstr>
      <vt:lpstr>nichtFreigegeben15</vt:lpstr>
      <vt:lpstr>nichtFreigegeben16</vt:lpstr>
      <vt:lpstr>nichtFreigegeben17</vt:lpstr>
      <vt:lpstr>nichtFreigegeben18</vt:lpstr>
      <vt:lpstr>nichtFreigegeben19</vt:lpstr>
      <vt:lpstr>nichtFreigegeben2</vt:lpstr>
      <vt:lpstr>nichtFreigegeben20</vt:lpstr>
      <vt:lpstr>nichtFreigegeben21</vt:lpstr>
      <vt:lpstr>nichtFreigegeben22</vt:lpstr>
      <vt:lpstr>nichtFreigegeben23</vt:lpstr>
      <vt:lpstr>nichtFreigegeben24</vt:lpstr>
      <vt:lpstr>nichtFreigegeben25</vt:lpstr>
      <vt:lpstr>nichtFreigegeben26</vt:lpstr>
      <vt:lpstr>nichtFreigegeben27</vt:lpstr>
      <vt:lpstr>nichtFreigegeben28</vt:lpstr>
      <vt:lpstr>nichtFreigegeben29</vt:lpstr>
      <vt:lpstr>nichtFreigegeben3</vt:lpstr>
      <vt:lpstr>nichtFreigegeben30</vt:lpstr>
      <vt:lpstr>nichtFreigegeben31</vt:lpstr>
      <vt:lpstr>nichtFreigegeben32</vt:lpstr>
      <vt:lpstr>nichtFreigegeben33</vt:lpstr>
      <vt:lpstr>nichtFreigegeben34</vt:lpstr>
      <vt:lpstr>nichtFreigegeben35</vt:lpstr>
      <vt:lpstr>nichtFreigegeben36</vt:lpstr>
      <vt:lpstr>nichtFreigegeben37</vt:lpstr>
      <vt:lpstr>nichtFreigegeben38</vt:lpstr>
      <vt:lpstr>nichtFreigegeben39</vt:lpstr>
      <vt:lpstr>nichtFreigegeben4</vt:lpstr>
      <vt:lpstr>nichtFreigegeben40</vt:lpstr>
      <vt:lpstr>nichtFreigegeben41</vt:lpstr>
      <vt:lpstr>nichtFreigegeben42</vt:lpstr>
      <vt:lpstr>nichtFreigegeben43</vt:lpstr>
      <vt:lpstr>nichtFreigegeben44</vt:lpstr>
      <vt:lpstr>nichtFreigegeben45</vt:lpstr>
      <vt:lpstr>nichtFreigegeben46</vt:lpstr>
      <vt:lpstr>nichtFreigegeben47</vt:lpstr>
      <vt:lpstr>nichtFreigegeben48</vt:lpstr>
      <vt:lpstr>nichtFreigegeben49</vt:lpstr>
      <vt:lpstr>nichtFreigegeben5</vt:lpstr>
      <vt:lpstr>nichtFreigegeben50</vt:lpstr>
      <vt:lpstr>nichtFreigegeben51</vt:lpstr>
      <vt:lpstr>nichtFreigegeben52</vt:lpstr>
      <vt:lpstr>nichtFreigegeben53</vt:lpstr>
      <vt:lpstr>nichtFreigegeben54</vt:lpstr>
      <vt:lpstr>nichtFreigegeben55</vt:lpstr>
      <vt:lpstr>nichtFreigegeben56</vt:lpstr>
      <vt:lpstr>nichtFreigegeben57</vt:lpstr>
      <vt:lpstr>nichtFreigegeben58</vt:lpstr>
      <vt:lpstr>nichtFreigegeben59</vt:lpstr>
      <vt:lpstr>nichtFreigegeben6</vt:lpstr>
      <vt:lpstr>nichtFreigegeben60</vt:lpstr>
      <vt:lpstr>nichtFreigegeben61</vt:lpstr>
      <vt:lpstr>nichtFreigegeben62</vt:lpstr>
      <vt:lpstr>nichtFreigegeben63</vt:lpstr>
      <vt:lpstr>nichtFreigegeben64</vt:lpstr>
      <vt:lpstr>nichtFreigegeben65</vt:lpstr>
      <vt:lpstr>nichtFreigegeben66</vt:lpstr>
      <vt:lpstr>nichtFreigegeben67</vt:lpstr>
      <vt:lpstr>nichtFreigegeben68</vt:lpstr>
      <vt:lpstr>nichtFreigegeben69</vt:lpstr>
      <vt:lpstr>nichtFreigegeben7</vt:lpstr>
      <vt:lpstr>nichtFreigegeben70</vt:lpstr>
      <vt:lpstr>nichtFreigegeben71</vt:lpstr>
      <vt:lpstr>nichtFreigegeben72</vt:lpstr>
      <vt:lpstr>nichtFreigegeben73</vt:lpstr>
      <vt:lpstr>nichtFreigegeben74</vt:lpstr>
      <vt:lpstr>nichtFreigegeben75</vt:lpstr>
      <vt:lpstr>nichtFreigegeben76</vt:lpstr>
      <vt:lpstr>nichtFreigegeben77</vt:lpstr>
      <vt:lpstr>nichtFreigegeben78</vt:lpstr>
      <vt:lpstr>nichtFreigegeben79</vt:lpstr>
      <vt:lpstr>nichtFreigegeben8</vt:lpstr>
      <vt:lpstr>nichtFreigegeben80</vt:lpstr>
      <vt:lpstr>nichtFreigegeben81</vt:lpstr>
      <vt:lpstr>nichtFreigegeben82</vt:lpstr>
      <vt:lpstr>nichtFreigegeben83</vt:lpstr>
      <vt:lpstr>nichtFreigegeben84</vt:lpstr>
      <vt:lpstr>nichtFreigegeben85</vt:lpstr>
      <vt:lpstr>nichtFreigegeben86</vt:lpstr>
      <vt:lpstr>nichtFreigegeben87</vt:lpstr>
      <vt:lpstr>nichtFreigegeben88</vt:lpstr>
      <vt:lpstr>nichtFreigegeben89</vt:lpstr>
      <vt:lpstr>nichtFreigegeben9</vt:lpstr>
      <vt:lpstr>nichtFreigegeben90</vt:lpstr>
      <vt:lpstr>nichtFreigegeben91</vt:lpstr>
      <vt:lpstr>nichtFreigegeben92</vt:lpstr>
      <vt:lpstr>nichtFreigegeben93</vt:lpstr>
      <vt:lpstr>nichtFreigegeben94</vt:lpstr>
      <vt:lpstr>nichtFreigegeben95</vt:lpstr>
      <vt:lpstr>nichtFreigegeben96</vt:lpstr>
      <vt:lpstr>nichtFreigegeben97</vt:lpstr>
      <vt:lpstr>nichtFreigegeben98</vt:lpstr>
      <vt:lpstr>nichtFreigegeben99</vt:lpstr>
      <vt:lpstr>statusKategorie</vt:lpstr>
      <vt:lpstr>summeStundenDi</vt:lpstr>
      <vt:lpstr>summeStundenDo</vt:lpstr>
      <vt:lpstr>summeStundenFr</vt:lpstr>
      <vt:lpstr>summeStundenMi</vt:lpstr>
      <vt:lpstr>summeStundenMo</vt:lpstr>
      <vt:lpstr>summeStundenWoche</vt:lpstr>
      <vt:lpstr>summeVerpflegungDi</vt:lpstr>
      <vt:lpstr>summeVerpflegungDo</vt:lpstr>
      <vt:lpstr>summeVerpflegungFr</vt:lpstr>
      <vt:lpstr>summeVerpflegungMi</vt:lpstr>
      <vt:lpstr>summeVerpflegungMo</vt:lpstr>
      <vt:lpstr>summeVerpflegungNF1</vt:lpstr>
      <vt:lpstr>summeVerpflegungNF2</vt:lpstr>
      <vt:lpstr>summeVerpflegungNF3</vt:lpstr>
      <vt:lpstr>summeVerpflegungNF4</vt:lpstr>
      <vt:lpstr>summeVerpflegungNF5</vt:lpstr>
      <vt:lpstr>summeVerpflegungWoche</vt:lpstr>
      <vt:lpstr>summStundenNF1</vt:lpstr>
      <vt:lpstr>summStundenNF2</vt:lpstr>
      <vt:lpstr>summStundenNF3</vt:lpstr>
      <vt:lpstr>summStundenNF4</vt:lpstr>
      <vt:lpstr>summStundenNF5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Weibel Xaver</dc:creator>
  <cp:lastModifiedBy>Nell Frédéric</cp:lastModifiedBy>
  <cp:revision>4</cp:revision>
  <cp:lastPrinted>2016-07-13T06:09:28Z</cp:lastPrinted>
  <dcterms:created xsi:type="dcterms:W3CDTF">2016-06-28T14:27:29Z</dcterms:created>
  <dcterms:modified xsi:type="dcterms:W3CDTF">2026-02-09T07:25:16Z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